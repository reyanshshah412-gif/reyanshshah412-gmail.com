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yansh\"/>
    </mc:Choice>
  </mc:AlternateContent>
  <xr:revisionPtr revIDLastSave="0" documentId="8_{CE9599B8-7B69-4F9F-9972-5347EDD6C734}" xr6:coauthVersionLast="47" xr6:coauthVersionMax="47" xr10:uidLastSave="{00000000-0000-0000-0000-000000000000}"/>
  <bookViews>
    <workbookView xWindow="14295" yWindow="0" windowWidth="14610" windowHeight="15585" activeTab="1" xr2:uid="{E06A859D-5348-4D3D-B8F1-E1211C35B2C2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" i="3" l="1"/>
  <c r="J4" i="3"/>
  <c r="J6" i="3"/>
  <c r="J5" i="3"/>
  <c r="J2" i="3"/>
  <c r="K11" i="3"/>
  <c r="J11" i="3"/>
  <c r="L3" i="3"/>
  <c r="L4" i="3"/>
  <c r="L2" i="3"/>
  <c r="K4" i="3"/>
  <c r="K3" i="3"/>
  <c r="K2" i="3"/>
  <c r="N11" i="3"/>
  <c r="N10" i="3"/>
  <c r="M11" i="3"/>
  <c r="M10" i="3"/>
  <c r="L11" i="3"/>
  <c r="L10" i="3"/>
  <c r="K10" i="3"/>
  <c r="J10" i="3"/>
  <c r="N4" i="3"/>
  <c r="N3" i="3"/>
  <c r="N2" i="3"/>
  <c r="M4" i="3"/>
  <c r="M3" i="3"/>
  <c r="M2" i="3"/>
  <c r="E16" i="1"/>
  <c r="E15" i="1"/>
  <c r="H84" i="1" s="1"/>
  <c r="H11" i="1"/>
  <c r="H10" i="1"/>
  <c r="H9" i="1"/>
  <c r="F2" i="1"/>
  <c r="H4" i="1" a="1"/>
  <c r="H3" i="1"/>
  <c r="H2" i="1"/>
  <c r="F3" i="1"/>
  <c r="C21" i="2"/>
  <c r="C20" i="2"/>
  <c r="C19" i="2"/>
  <c r="C18" i="2"/>
  <c r="C17" i="2"/>
  <c r="C16" i="2"/>
  <c r="C15" i="2"/>
  <c r="C14" i="2"/>
  <c r="C13" i="2"/>
  <c r="C12" i="2"/>
  <c r="C10" i="2"/>
  <c r="H81" i="1"/>
  <c r="H80" i="1"/>
  <c r="H79" i="1"/>
  <c r="G79" i="1"/>
  <c r="O56" i="1" a="1"/>
  <c r="O57" i="1" a="1"/>
  <c r="O58" i="1" a="1"/>
  <c r="O59" i="1" a="1"/>
  <c r="O60" i="1" a="1"/>
  <c r="O55" i="1" a="1"/>
  <c r="N56" i="1"/>
  <c r="N57" i="1"/>
  <c r="N58" i="1"/>
  <c r="N59" i="1"/>
  <c r="N60" i="1"/>
  <c r="N55" i="1"/>
  <c r="P50" i="1"/>
  <c r="P51" i="1"/>
  <c r="P52" i="1"/>
  <c r="P49" i="1"/>
  <c r="O50" i="1"/>
  <c r="O51" i="1"/>
  <c r="O52" i="1"/>
  <c r="O49" i="1"/>
  <c r="N50" i="1"/>
  <c r="N51" i="1"/>
  <c r="N52" i="1"/>
  <c r="N49" i="1"/>
  <c r="F44" i="1"/>
  <c r="F43" i="1"/>
  <c r="F42" i="1"/>
  <c r="F41" i="1"/>
  <c r="E44" i="1"/>
  <c r="E43" i="1"/>
  <c r="E42" i="1"/>
  <c r="E41" i="1"/>
  <c r="D44" i="1"/>
  <c r="D43" i="1"/>
  <c r="D42" i="1"/>
  <c r="D41" i="1"/>
  <c r="F38" i="1"/>
  <c r="F37" i="1"/>
  <c r="C23" i="1"/>
  <c r="C22" i="1"/>
  <c r="C21" i="1"/>
  <c r="C20" i="1"/>
  <c r="B23" i="1"/>
  <c r="B22" i="1"/>
  <c r="B21" i="1"/>
  <c r="B20" i="1"/>
  <c r="G15" i="1"/>
  <c r="G12" i="1"/>
  <c r="B17" i="1"/>
  <c r="B16" i="1"/>
  <c r="B15" i="1"/>
  <c r="B14" i="1"/>
  <c r="G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<sst xmlns="http://schemas.openxmlformats.org/spreadsheetml/2006/main" count="463" uniqueCount="207">
  <si>
    <t>Product_ID</t>
  </si>
  <si>
    <t>Product_Name</t>
  </si>
  <si>
    <t>Category</t>
  </si>
  <si>
    <t>Unit_Price</t>
  </si>
  <si>
    <t>Supplier</t>
  </si>
  <si>
    <t>P101</t>
  </si>
  <si>
    <t>Laptop</t>
  </si>
  <si>
    <t>Electronics</t>
  </si>
  <si>
    <t>HP</t>
  </si>
  <si>
    <t>P102</t>
  </si>
  <si>
    <t>Keyboard</t>
  </si>
  <si>
    <t>Logitech</t>
  </si>
  <si>
    <t>P103</t>
  </si>
  <si>
    <t>Office Chair</t>
  </si>
  <si>
    <t>Furniture</t>
  </si>
  <si>
    <t>FeatherLite</t>
  </si>
  <si>
    <t>P104</t>
  </si>
  <si>
    <t>Desk</t>
  </si>
  <si>
    <t>IKEA</t>
  </si>
  <si>
    <t>P105</t>
  </si>
  <si>
    <t>Mouse</t>
  </si>
  <si>
    <t>P106</t>
  </si>
  <si>
    <t>Printer</t>
  </si>
  <si>
    <t>Canon</t>
  </si>
  <si>
    <t>P107</t>
  </si>
  <si>
    <t>Monitor</t>
  </si>
  <si>
    <t>Dell</t>
  </si>
  <si>
    <t>P108</t>
  </si>
  <si>
    <t>Bookshelf</t>
  </si>
  <si>
    <t>P109</t>
  </si>
  <si>
    <t>Headphones</t>
  </si>
  <si>
    <t>Sony</t>
  </si>
  <si>
    <t>P110</t>
  </si>
  <si>
    <t>Webcam</t>
  </si>
  <si>
    <t>Lenovo</t>
  </si>
  <si>
    <t>SHOW THE ORICE OF LAPTOP</t>
  </si>
  <si>
    <t>SHOW THE SUPPLIER OF KEYBOARD</t>
  </si>
  <si>
    <t>PRODUCT NAME</t>
  </si>
  <si>
    <t>UNIT PLACE</t>
  </si>
  <si>
    <t>SUPPLIER</t>
  </si>
  <si>
    <t>vlookup has a disadvantage that we can't find data of left side so we use XLOOKUP</t>
  </si>
  <si>
    <t>EID</t>
  </si>
  <si>
    <t>Name</t>
  </si>
  <si>
    <t>Age</t>
  </si>
  <si>
    <t>Gender</t>
  </si>
  <si>
    <t>Department</t>
  </si>
  <si>
    <t>Job_Role</t>
  </si>
  <si>
    <t>Salary</t>
  </si>
  <si>
    <t>Experience_Years</t>
  </si>
  <si>
    <t>City</t>
  </si>
  <si>
    <t>Joining_Date</t>
  </si>
  <si>
    <t>Performance_Rating</t>
  </si>
  <si>
    <t>Rahul Sharma</t>
  </si>
  <si>
    <t>Male</t>
  </si>
  <si>
    <t>IT</t>
  </si>
  <si>
    <t>Developer</t>
  </si>
  <si>
    <t>Delhi</t>
  </si>
  <si>
    <t>Priya Verma</t>
  </si>
  <si>
    <t>Female</t>
  </si>
  <si>
    <t>HR</t>
  </si>
  <si>
    <t>HR Manager</t>
  </si>
  <si>
    <t>Mumbai</t>
  </si>
  <si>
    <t>Amit Kumar</t>
  </si>
  <si>
    <t>Finance</t>
  </si>
  <si>
    <t>Accountant</t>
  </si>
  <si>
    <t>Sneha Singh</t>
  </si>
  <si>
    <t>Data Analyst</t>
  </si>
  <si>
    <t>Bangalore</t>
  </si>
  <si>
    <t>Rohit Gupta</t>
  </si>
  <si>
    <t>Sales</t>
  </si>
  <si>
    <t>Sales Manager</t>
  </si>
  <si>
    <t>Pune</t>
  </si>
  <si>
    <t>Neha Kapoor</t>
  </si>
  <si>
    <t>Marketing</t>
  </si>
  <si>
    <t>Executive</t>
  </si>
  <si>
    <t>Vikram Mehta</t>
  </si>
  <si>
    <t>Team Lead</t>
  </si>
  <si>
    <t>Hyderabad</t>
  </si>
  <si>
    <t>Anjali Rao</t>
  </si>
  <si>
    <t>Financial Analyst</t>
  </si>
  <si>
    <t>Karan Malhotra</t>
  </si>
  <si>
    <t>Sales Executive</t>
  </si>
  <si>
    <t>Pooja Sharma</t>
  </si>
  <si>
    <t>Recruiter</t>
  </si>
  <si>
    <t>Arjun Patel</t>
  </si>
  <si>
    <t>Ahmedabad</t>
  </si>
  <si>
    <t>Meena Joshi</t>
  </si>
  <si>
    <t>Finance Manager</t>
  </si>
  <si>
    <t>Suresh Yadav</t>
  </si>
  <si>
    <t>Jaipur</t>
  </si>
  <si>
    <t>Kavita Nair</t>
  </si>
  <si>
    <t>Project Manager</t>
  </si>
  <si>
    <t>Manish Verma</t>
  </si>
  <si>
    <t>Chennai</t>
  </si>
  <si>
    <t>Riya Kapoor</t>
  </si>
  <si>
    <t>HR Executive</t>
  </si>
  <si>
    <t>Deepak Singh</t>
  </si>
  <si>
    <t>Senior Developer</t>
  </si>
  <si>
    <t>Nisha Agarwal</t>
  </si>
  <si>
    <t>Marketing Manager</t>
  </si>
  <si>
    <t>Varun Shah</t>
  </si>
  <si>
    <t>Simran Kaur</t>
  </si>
  <si>
    <t>Chandigarh</t>
  </si>
  <si>
    <t>Akash Jain</t>
  </si>
  <si>
    <t>Architect</t>
  </si>
  <si>
    <t>Divya Menon</t>
  </si>
  <si>
    <t>Kochi</t>
  </si>
  <si>
    <t>Naveen Reddy</t>
  </si>
  <si>
    <t>Shweta Mishra</t>
  </si>
  <si>
    <t>Lucknow</t>
  </si>
  <si>
    <t>Rajesh Kumar</t>
  </si>
  <si>
    <t>IT Manager</t>
  </si>
  <si>
    <t>Tanya Gupta</t>
  </si>
  <si>
    <t>Mohit Bansal</t>
  </si>
  <si>
    <t>Senior Accountant</t>
  </si>
  <si>
    <t>Ayesha Khan</t>
  </si>
  <si>
    <t>Sanjay Patel</t>
  </si>
  <si>
    <t>salary</t>
  </si>
  <si>
    <t>city</t>
  </si>
  <si>
    <t>W A Q FUNCTION TO CALCULATE TOTAL SALARY IN HR DEPT</t>
  </si>
  <si>
    <t>COUNT HOW MAKE MALE OR FEMALE ARE THERE</t>
  </si>
  <si>
    <r>
      <t>Shradha Suman</t>
    </r>
    <r>
      <rPr>
        <sz val="11"/>
        <color theme="1"/>
        <rFont val="Segoe UI"/>
        <family val="2"/>
      </rPr>
      <t xml:space="preserve"> 5:31 PM</t>
    </r>
  </si>
  <si>
    <t>Employee ID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</si>
  <si>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</si>
  <si>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</si>
  <si>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</si>
  <si>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</si>
  <si>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</si>
  <si>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</si>
  <si>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</si>
  <si>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</si>
  <si>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</si>
  <si>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</si>
  <si>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Employee Name</t>
  </si>
  <si>
    <t>Rahul</t>
  </si>
  <si>
    <t>Ananya</t>
  </si>
  <si>
    <t>Rohan</t>
  </si>
  <si>
    <t>Priya</t>
  </si>
  <si>
    <t>Amit</t>
  </si>
  <si>
    <t>Neha</t>
  </si>
  <si>
    <t>Vikas</t>
  </si>
  <si>
    <t>Sneha</t>
  </si>
  <si>
    <t>Karan</t>
  </si>
  <si>
    <t>Pooja</t>
  </si>
  <si>
    <t>Noida</t>
  </si>
  <si>
    <t>Experience</t>
  </si>
  <si>
    <t>Question</t>
  </si>
  <si>
    <t>Lookup Employee ID</t>
  </si>
  <si>
    <t>Find Employee Name</t>
  </si>
  <si>
    <t>Find Department</t>
  </si>
  <si>
    <t>Find City</t>
  </si>
  <si>
    <t>Find Salary</t>
  </si>
  <si>
    <t>Find Experience</t>
  </si>
  <si>
    <t>Find Age</t>
  </si>
  <si>
    <t>sony</t>
  </si>
  <si>
    <t>match formula</t>
  </si>
  <si>
    <t>index formula</t>
  </si>
  <si>
    <t>both are vice versa of each other</t>
  </si>
  <si>
    <t xml:space="preserve">index formula </t>
  </si>
  <si>
    <t>match funtion will find if this value is there then it will give its position</t>
  </si>
  <si>
    <t>show the price of webcam</t>
  </si>
  <si>
    <t xml:space="preserve">                                                        </t>
  </si>
  <si>
    <t>show the unit price of laptop</t>
  </si>
  <si>
    <t>Emp_ID</t>
  </si>
  <si>
    <t>Dept</t>
  </si>
  <si>
    <t>Index-match</t>
  </si>
  <si>
    <t>Jatin</t>
  </si>
  <si>
    <t>M</t>
  </si>
  <si>
    <t>E4178</t>
  </si>
  <si>
    <t>E4181</t>
  </si>
  <si>
    <t>Vipul</t>
  </si>
  <si>
    <t>E4179</t>
  </si>
  <si>
    <t>E4193</t>
  </si>
  <si>
    <t>Mridul</t>
  </si>
  <si>
    <t>E4180</t>
  </si>
  <si>
    <t>Kanchan</t>
  </si>
  <si>
    <t>F</t>
  </si>
  <si>
    <t>Vibhor</t>
  </si>
  <si>
    <t>E4182</t>
  </si>
  <si>
    <t>Admin</t>
  </si>
  <si>
    <t>Shubham</t>
  </si>
  <si>
    <t>E4183</t>
  </si>
  <si>
    <t>Niharika</t>
  </si>
  <si>
    <t>E4184</t>
  </si>
  <si>
    <t>Ujjwal</t>
  </si>
  <si>
    <t>E4185</t>
  </si>
  <si>
    <t>Xlookup</t>
  </si>
  <si>
    <t>Vivek</t>
  </si>
  <si>
    <t>E4186</t>
  </si>
  <si>
    <t>E4191</t>
  </si>
  <si>
    <t>Manan</t>
  </si>
  <si>
    <t>E4187</t>
  </si>
  <si>
    <t>Ritwik</t>
  </si>
  <si>
    <t>E4188</t>
  </si>
  <si>
    <t>Rishabh</t>
  </si>
  <si>
    <t>E4189</t>
  </si>
  <si>
    <t>Logistics</t>
  </si>
  <si>
    <t>Shubhi</t>
  </si>
  <si>
    <t>E4190</t>
  </si>
  <si>
    <t>Jyotsana</t>
  </si>
  <si>
    <t>Priyank</t>
  </si>
  <si>
    <t>E4192</t>
  </si>
  <si>
    <t>Hitesh</t>
  </si>
  <si>
    <t>Sonali</t>
  </si>
  <si>
    <t>E4194</t>
  </si>
  <si>
    <t>Kartik</t>
  </si>
  <si>
    <t>E4195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</si>
</sst>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Fill="1" applyBorder="1" applyAlignment="1">
      <alignment wrapText="1"/>
    </xf>
    <xf numFmtId="0" fontId="1" fillId="0" borderId="0" xfId="0" applyFont="1" applyFill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14" fontId="3" fillId="0" borderId="1" xfId="0" applyNumberFormat="1" applyFont="1" applyBorder="1" applyAlignment="1">
      <alignment horizontal="right" wrapText="1"/>
    </xf>
    <xf numFmtId="0" fontId="4" fillId="0" borderId="0" xfId="0" applyFont="1"/>
    <xf numFmtId="0" fontId="5" fillId="0" borderId="0" xfId="0" applyFont="1"/>
    <xf numFmtId="0" fontId="3" fillId="0" borderId="1" xfId="0" applyFont="1" applyBorder="1" applyAlignment="1">
      <alignment vertical="center"/>
    </xf>
    <xf numFmtId="0" fontId="1" fillId="0" borderId="3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31312-5B6F-483C-802B-F678FA3892ED}">
  <dimension ref="A1:P84"/>
  <sheetViews>
    <sheetView zoomScale="78" zoomScaleNormal="78" workbookViewId="0">
      <selection activeCell="H29" sqref="H29"/>
    </sheetView>
  </sheetViews>
  <sheetFormatPr defaultRowHeight="15" x14ac:dyDescent="0.25"/>
  <cols>
    <col min="1" max="1" width="17.5703125" customWidth="1"/>
    <col min="2" max="2" width="17.42578125" customWidth="1"/>
    <col min="3" max="3" width="17" customWidth="1"/>
    <col min="4" max="4" width="12.85546875" customWidth="1"/>
    <col min="5" max="5" width="12.42578125" customWidth="1"/>
    <col min="6" max="7" width="23" customWidth="1"/>
    <col min="8" max="8" width="20.7109375" customWidth="1"/>
    <col min="10" max="10" width="57.5703125" customWidth="1"/>
    <col min="13" max="13" width="16.85546875" customWidth="1"/>
    <col min="14" max="14" width="17.5703125" customWidth="1"/>
    <col min="15" max="15" width="14.140625" customWidth="1"/>
  </cols>
  <sheetData>
    <row r="1" spans="1:10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3" t="s">
        <v>155</v>
      </c>
      <c r="H1" s="3" t="s">
        <v>156</v>
      </c>
      <c r="J1" s="4" t="s">
        <v>157</v>
      </c>
    </row>
    <row r="2" spans="1:10" ht="15.75" thickBot="1" x14ac:dyDescent="0.3">
      <c r="A2" s="1" t="s">
        <v>5</v>
      </c>
      <c r="B2" s="1" t="s">
        <v>6</v>
      </c>
      <c r="C2" s="1" t="s">
        <v>7</v>
      </c>
      <c r="D2" s="2">
        <v>55000</v>
      </c>
      <c r="E2" s="1" t="s">
        <v>8</v>
      </c>
      <c r="F2">
        <f>MATCH(B8,B1:B11,FALSE)</f>
        <v>8</v>
      </c>
      <c r="H2" t="str">
        <f>INDEX(B1:B11,5)</f>
        <v>Desk</v>
      </c>
    </row>
    <row r="3" spans="1:10" ht="15.75" thickBot="1" x14ac:dyDescent="0.3">
      <c r="A3" s="1" t="s">
        <v>9</v>
      </c>
      <c r="B3" s="1" t="s">
        <v>10</v>
      </c>
      <c r="C3" s="1" t="s">
        <v>7</v>
      </c>
      <c r="D3" s="2">
        <v>1500</v>
      </c>
      <c r="E3" s="1" t="s">
        <v>11</v>
      </c>
      <c r="F3">
        <f>MATCH(E10,E1:E11,FALSE)</f>
        <v>4</v>
      </c>
      <c r="H3" t="str">
        <f>INDEX(E1:E11,11)</f>
        <v>Lenovo</v>
      </c>
      <c r="J3" t="s">
        <v>159</v>
      </c>
    </row>
    <row r="4" spans="1:10" ht="15.75" thickBot="1" x14ac:dyDescent="0.3">
      <c r="A4" s="1" t="s">
        <v>12</v>
      </c>
      <c r="B4" s="1" t="s">
        <v>13</v>
      </c>
      <c r="C4" s="1" t="s">
        <v>14</v>
      </c>
      <c r="D4" s="2">
        <v>8500</v>
      </c>
      <c r="E4" s="1" t="s">
        <v>154</v>
      </c>
      <c r="H4" t="str" cm="1">
        <f t="array" ref="H4">INDEX(B1:B11,5,FALSE)</f>
        <v>Desk</v>
      </c>
    </row>
    <row r="5" spans="1:10" ht="15.75" thickBot="1" x14ac:dyDescent="0.3">
      <c r="A5" s="1" t="s">
        <v>16</v>
      </c>
      <c r="B5" s="1" t="s">
        <v>17</v>
      </c>
      <c r="C5" s="1" t="s">
        <v>14</v>
      </c>
      <c r="D5" s="2">
        <v>12000</v>
      </c>
      <c r="E5" s="1" t="s">
        <v>18</v>
      </c>
      <c r="J5" t="s">
        <v>158</v>
      </c>
    </row>
    <row r="6" spans="1:10" ht="15.75" thickBot="1" x14ac:dyDescent="0.3">
      <c r="A6" s="1" t="s">
        <v>19</v>
      </c>
      <c r="B6" s="1" t="s">
        <v>20</v>
      </c>
      <c r="C6" s="1" t="s">
        <v>7</v>
      </c>
      <c r="D6" s="2">
        <v>800</v>
      </c>
      <c r="E6" s="1" t="s">
        <v>11</v>
      </c>
    </row>
    <row r="7" spans="1:10" ht="15.75" thickBot="1" x14ac:dyDescent="0.3">
      <c r="A7" s="1" t="s">
        <v>21</v>
      </c>
      <c r="B7" s="1" t="s">
        <v>22</v>
      </c>
      <c r="C7" s="1" t="s">
        <v>7</v>
      </c>
      <c r="D7" s="2">
        <v>15000</v>
      </c>
      <c r="E7" s="1" t="s">
        <v>23</v>
      </c>
    </row>
    <row r="8" spans="1:10" ht="15.75" thickBot="1" x14ac:dyDescent="0.3">
      <c r="A8" s="1" t="s">
        <v>24</v>
      </c>
      <c r="B8" s="1" t="s">
        <v>25</v>
      </c>
      <c r="C8" s="1" t="s">
        <v>7</v>
      </c>
      <c r="D8" s="2">
        <v>18000</v>
      </c>
      <c r="E8" s="1" t="s">
        <v>26</v>
      </c>
      <c r="G8">
        <f>VLOOKUP(A2,A1:E11,4,FALSE)</f>
        <v>55000</v>
      </c>
      <c r="H8" t="s">
        <v>160</v>
      </c>
    </row>
    <row r="9" spans="1:10" ht="15.75" thickBot="1" x14ac:dyDescent="0.3">
      <c r="A9" s="1" t="s">
        <v>27</v>
      </c>
      <c r="B9" s="1" t="s">
        <v>28</v>
      </c>
      <c r="C9" s="1" t="s">
        <v>14</v>
      </c>
      <c r="D9" s="2">
        <v>7000</v>
      </c>
      <c r="E9" s="1" t="s">
        <v>18</v>
      </c>
      <c r="H9">
        <f xml:space="preserve">         INDEX(D1:D11,MATCH("Webcam",B1:B11,))</f>
        <v>4500</v>
      </c>
    </row>
    <row r="10" spans="1:10" ht="15.75" thickBot="1" x14ac:dyDescent="0.3">
      <c r="A10" s="1" t="s">
        <v>29</v>
      </c>
      <c r="B10" s="1" t="s">
        <v>30</v>
      </c>
      <c r="C10" s="1" t="s">
        <v>7</v>
      </c>
      <c r="D10" s="2">
        <v>2500</v>
      </c>
      <c r="E10" s="1" t="s">
        <v>31</v>
      </c>
      <c r="H10">
        <f>INDEX(D1:D11, MATCH("Printer",B1:B11))</f>
        <v>2500</v>
      </c>
    </row>
    <row r="11" spans="1:10" ht="15.75" thickBot="1" x14ac:dyDescent="0.3">
      <c r="A11" s="1" t="s">
        <v>32</v>
      </c>
      <c r="B11" s="1" t="s">
        <v>33</v>
      </c>
      <c r="C11" s="1" t="s">
        <v>7</v>
      </c>
      <c r="D11" s="2">
        <v>4500</v>
      </c>
      <c r="E11" s="1" t="s">
        <v>34</v>
      </c>
      <c r="G11" s="3" t="s">
        <v>35</v>
      </c>
      <c r="H11">
        <f>INDEX(D1:D11, MATCH("Mouse",B1:B11))</f>
        <v>800</v>
      </c>
    </row>
    <row r="12" spans="1:10" ht="15.75" thickBot="1" x14ac:dyDescent="0.3">
      <c r="G12">
        <f>VLOOKUP("LAPTOP",B1:E11,3,FALSE)</f>
        <v>55000</v>
      </c>
      <c r="H12" t="s">
        <v>161</v>
      </c>
    </row>
    <row r="13" spans="1:10" ht="15.75" thickBot="1" x14ac:dyDescent="0.3">
      <c r="A13" t="s">
        <v>0</v>
      </c>
      <c r="B13" s="1" t="s">
        <v>2</v>
      </c>
      <c r="C13" s="1" t="s">
        <v>4</v>
      </c>
    </row>
    <row r="14" spans="1:10" ht="45.75" thickBot="1" x14ac:dyDescent="0.3">
      <c r="A14" s="1" t="s">
        <v>29</v>
      </c>
      <c r="B14" t="str">
        <f>VLOOKUP(A14,A1:E11,3,FALSE)</f>
        <v>Electronics</v>
      </c>
      <c r="E14" s="4" t="s">
        <v>162</v>
      </c>
      <c r="G14" t="s">
        <v>36</v>
      </c>
    </row>
    <row r="15" spans="1:10" ht="15.75" thickBot="1" x14ac:dyDescent="0.3">
      <c r="A15" s="1" t="s">
        <v>19</v>
      </c>
      <c r="B15" t="str">
        <f>VLOOKUP(A15,A1:E11,3,FALSE)</f>
        <v>Electronics</v>
      </c>
      <c r="E15">
        <f>INDEX(D1:D11,  MATCH("Laptop",B1:B11,))</f>
        <v>55000</v>
      </c>
      <c r="G15" t="str">
        <f>VLOOKUP("KEYBOARD",B1:E11,4,FALSE)</f>
        <v>Logitech</v>
      </c>
    </row>
    <row r="16" spans="1:10" ht="15.75" thickBot="1" x14ac:dyDescent="0.3">
      <c r="A16" s="1" t="s">
        <v>29</v>
      </c>
      <c r="B16" t="str">
        <f>VLOOKUP(A16,A1:E11,3,FALSE)</f>
        <v>Electronics</v>
      </c>
      <c r="E16" t="str">
        <f>INDEX(C1:C11,MATCH("Mouse",B1:B11,FALSE))</f>
        <v>Electronics</v>
      </c>
    </row>
    <row r="17" spans="1:7" ht="15.75" thickBot="1" x14ac:dyDescent="0.3">
      <c r="A17" s="1" t="s">
        <v>9</v>
      </c>
      <c r="B17" t="str">
        <f>VLOOKUP(A17,A1:E11,3,FALSE)</f>
        <v>Electronics</v>
      </c>
    </row>
    <row r="19" spans="1:7" ht="15.75" thickBot="1" x14ac:dyDescent="0.3">
      <c r="A19" s="4" t="s">
        <v>37</v>
      </c>
      <c r="B19" t="s">
        <v>38</v>
      </c>
      <c r="C19" t="s">
        <v>39</v>
      </c>
    </row>
    <row r="20" spans="1:7" ht="15.75" thickBot="1" x14ac:dyDescent="0.3">
      <c r="A20" s="1" t="s">
        <v>13</v>
      </c>
      <c r="B20">
        <f>VLOOKUP("Office Chair",B1:E11,3,FALSE)</f>
        <v>8500</v>
      </c>
      <c r="C20" t="str">
        <f>VLOOKUP("Office Chair",B1:E11,4,FALSE)</f>
        <v>sony</v>
      </c>
      <c r="G20" t="s">
        <v>40</v>
      </c>
    </row>
    <row r="21" spans="1:7" ht="15.75" thickBot="1" x14ac:dyDescent="0.3">
      <c r="A21" s="1" t="s">
        <v>17</v>
      </c>
      <c r="B21">
        <f>VLOOKUP("Desk",B2:E12,3,FALSE)</f>
        <v>12000</v>
      </c>
      <c r="C21" t="str">
        <f>VLOOKUP("Desk",B2:E12,4,FALSE)</f>
        <v>IKEA</v>
      </c>
    </row>
    <row r="22" spans="1:7" ht="15.75" thickBot="1" x14ac:dyDescent="0.3">
      <c r="A22" s="1" t="s">
        <v>20</v>
      </c>
      <c r="B22">
        <f>VLOOKUP("Mouse",B3:E13,3,FALSE)</f>
        <v>800</v>
      </c>
      <c r="C22" t="str">
        <f>VLOOKUP("Mouse",B3:E13,4,FALSE)</f>
        <v>Logitech</v>
      </c>
    </row>
    <row r="23" spans="1:7" ht="15.75" thickBot="1" x14ac:dyDescent="0.3">
      <c r="A23" s="1" t="s">
        <v>22</v>
      </c>
      <c r="B23">
        <f>VLOOKUP("Printer",B4:E14,3,FALSE)</f>
        <v>15000</v>
      </c>
      <c r="C23" t="str">
        <f>VLOOKUP("Printer",B1:E11,4,FALSE)</f>
        <v>Canon</v>
      </c>
    </row>
    <row r="24" spans="1:7" ht="15.75" thickBot="1" x14ac:dyDescent="0.3"/>
    <row r="25" spans="1:7" ht="15.75" thickBot="1" x14ac:dyDescent="0.3">
      <c r="C25" s="1" t="s">
        <v>2</v>
      </c>
      <c r="D25" s="1" t="s">
        <v>3</v>
      </c>
      <c r="E25" s="1" t="s">
        <v>4</v>
      </c>
      <c r="F25" s="1" t="s">
        <v>1</v>
      </c>
      <c r="G25" s="1" t="s">
        <v>0</v>
      </c>
    </row>
    <row r="26" spans="1:7" ht="15.75" thickBot="1" x14ac:dyDescent="0.3">
      <c r="C26" s="1" t="s">
        <v>7</v>
      </c>
      <c r="D26" s="2">
        <v>55000</v>
      </c>
      <c r="E26" s="1" t="s">
        <v>8</v>
      </c>
      <c r="F26" s="1" t="s">
        <v>6</v>
      </c>
      <c r="G26" s="1" t="s">
        <v>5</v>
      </c>
    </row>
    <row r="27" spans="1:7" ht="15.75" thickBot="1" x14ac:dyDescent="0.3">
      <c r="C27" s="1" t="s">
        <v>7</v>
      </c>
      <c r="D27" s="2">
        <v>1500</v>
      </c>
      <c r="E27" s="1" t="s">
        <v>11</v>
      </c>
      <c r="F27" s="1" t="s">
        <v>10</v>
      </c>
      <c r="G27" s="1" t="s">
        <v>9</v>
      </c>
    </row>
    <row r="28" spans="1:7" ht="15.75" thickBot="1" x14ac:dyDescent="0.3">
      <c r="C28" s="1" t="s">
        <v>14</v>
      </c>
      <c r="D28" s="2">
        <v>8500</v>
      </c>
      <c r="E28" s="1" t="s">
        <v>15</v>
      </c>
      <c r="F28" s="1" t="s">
        <v>13</v>
      </c>
      <c r="G28" s="1" t="s">
        <v>12</v>
      </c>
    </row>
    <row r="29" spans="1:7" ht="15.75" thickBot="1" x14ac:dyDescent="0.3">
      <c r="C29" s="1" t="s">
        <v>14</v>
      </c>
      <c r="D29" s="2">
        <v>12000</v>
      </c>
      <c r="E29" s="1" t="s">
        <v>18</v>
      </c>
      <c r="F29" s="1" t="s">
        <v>17</v>
      </c>
      <c r="G29" s="1" t="s">
        <v>16</v>
      </c>
    </row>
    <row r="30" spans="1:7" ht="15.75" thickBot="1" x14ac:dyDescent="0.3">
      <c r="C30" s="1" t="s">
        <v>7</v>
      </c>
      <c r="D30" s="2">
        <v>800</v>
      </c>
      <c r="E30" s="1" t="s">
        <v>11</v>
      </c>
      <c r="F30" s="1" t="s">
        <v>20</v>
      </c>
      <c r="G30" s="1" t="s">
        <v>19</v>
      </c>
    </row>
    <row r="31" spans="1:7" ht="15.75" thickBot="1" x14ac:dyDescent="0.3">
      <c r="C31" s="1" t="s">
        <v>7</v>
      </c>
      <c r="D31" s="2">
        <v>15000</v>
      </c>
      <c r="E31" s="1" t="s">
        <v>23</v>
      </c>
      <c r="F31" s="1" t="s">
        <v>22</v>
      </c>
      <c r="G31" s="1" t="s">
        <v>21</v>
      </c>
    </row>
    <row r="32" spans="1:7" ht="15.75" thickBot="1" x14ac:dyDescent="0.3">
      <c r="C32" s="1" t="s">
        <v>7</v>
      </c>
      <c r="D32" s="2">
        <v>18000</v>
      </c>
      <c r="E32" s="1" t="s">
        <v>26</v>
      </c>
      <c r="F32" s="1" t="s">
        <v>25</v>
      </c>
      <c r="G32" s="1" t="s">
        <v>24</v>
      </c>
    </row>
    <row r="33" spans="1:16" ht="15.75" thickBot="1" x14ac:dyDescent="0.3">
      <c r="C33" s="1" t="s">
        <v>14</v>
      </c>
      <c r="D33" s="2">
        <v>7000</v>
      </c>
      <c r="E33" s="1" t="s">
        <v>18</v>
      </c>
      <c r="F33" s="1" t="s">
        <v>28</v>
      </c>
      <c r="G33" s="1" t="s">
        <v>27</v>
      </c>
    </row>
    <row r="34" spans="1:16" ht="15.75" thickBot="1" x14ac:dyDescent="0.3">
      <c r="C34" s="1" t="s">
        <v>7</v>
      </c>
      <c r="D34" s="2">
        <v>2500</v>
      </c>
      <c r="E34" s="1" t="s">
        <v>31</v>
      </c>
      <c r="F34" s="1" t="s">
        <v>30</v>
      </c>
      <c r="G34" s="1" t="s">
        <v>29</v>
      </c>
    </row>
    <row r="35" spans="1:16" ht="15.75" thickBot="1" x14ac:dyDescent="0.3">
      <c r="C35" s="1" t="s">
        <v>7</v>
      </c>
      <c r="D35" s="2">
        <v>4500</v>
      </c>
      <c r="E35" s="1" t="s">
        <v>34</v>
      </c>
      <c r="F35" s="1" t="s">
        <v>33</v>
      </c>
      <c r="G35" s="1" t="s">
        <v>32</v>
      </c>
    </row>
    <row r="37" spans="1:16" ht="15.75" thickBot="1" x14ac:dyDescent="0.3">
      <c r="F37" t="str">
        <f>_xlfn.XLOOKUP(G28,G25:G35,F25:F35,FALSE)</f>
        <v>Office Chair</v>
      </c>
    </row>
    <row r="38" spans="1:16" ht="15.75" thickBot="1" x14ac:dyDescent="0.3">
      <c r="C38" s="1"/>
      <c r="F38" t="str">
        <f>_xlfn.XLOOKUP(G33,G25:G35,E25:E35,FALSE)</f>
        <v>IKEA</v>
      </c>
    </row>
    <row r="39" spans="1:16" ht="15.75" thickBot="1" x14ac:dyDescent="0.3">
      <c r="E39" s="1"/>
    </row>
    <row r="40" spans="1:16" ht="15.75" thickBot="1" x14ac:dyDescent="0.3">
      <c r="C40" s="1" t="s">
        <v>4</v>
      </c>
      <c r="D40" s="1" t="s">
        <v>0</v>
      </c>
      <c r="E40" s="1" t="s">
        <v>2</v>
      </c>
      <c r="F40" s="1" t="s">
        <v>3</v>
      </c>
    </row>
    <row r="41" spans="1:16" ht="15.75" thickBot="1" x14ac:dyDescent="0.3">
      <c r="C41" s="1" t="s">
        <v>15</v>
      </c>
      <c r="D41" t="str">
        <f>_xlfn.XLOOKUP(C41,E25:E35,G25:G35,FALSE)</f>
        <v>P103</v>
      </c>
      <c r="E41" t="str">
        <f>_xlfn.XLOOKUP(C41,E25:E35,C25:C35,FALSE)</f>
        <v>Furniture</v>
      </c>
      <c r="F41">
        <f>_xlfn.XLOOKUP(C41,E25:E35,D25:D35,FALSE)</f>
        <v>8500</v>
      </c>
    </row>
    <row r="42" spans="1:16" ht="15.75" thickBot="1" x14ac:dyDescent="0.3">
      <c r="C42" s="1" t="s">
        <v>23</v>
      </c>
      <c r="D42" t="str">
        <f>_xlfn.XLOOKUP(C42,E25:E35,G25:G35,FALSE)</f>
        <v>P106</v>
      </c>
      <c r="E42" t="str">
        <f>_xlfn.XLOOKUP(C42,E25:E35,C25:C35,FALSE)</f>
        <v>Electronics</v>
      </c>
      <c r="F42">
        <f>_xlfn.XLOOKUP(C42,E25:E35,D25:D35,FALSE)</f>
        <v>15000</v>
      </c>
    </row>
    <row r="43" spans="1:16" ht="15.75" thickBot="1" x14ac:dyDescent="0.3">
      <c r="C43" s="1" t="s">
        <v>18</v>
      </c>
      <c r="D43" t="str">
        <f>_xlfn.XLOOKUP(C43,E25:E35,G25:G35,FALSE)</f>
        <v>P104</v>
      </c>
      <c r="E43" t="str">
        <f>_xlfn.XLOOKUP(C43,E25:E35,C25:C35,FALSE)</f>
        <v>Furniture</v>
      </c>
      <c r="F43">
        <f>_xlfn.XLOOKUP(C43,E25:E35,D25:D35,FALSE)</f>
        <v>12000</v>
      </c>
    </row>
    <row r="44" spans="1:16" ht="15.75" thickBot="1" x14ac:dyDescent="0.3">
      <c r="C44" s="1" t="s">
        <v>11</v>
      </c>
      <c r="D44" t="str">
        <f>_xlfn.XLOOKUP(C44,E25:E35,G25:G35,FALSE)</f>
        <v>P102</v>
      </c>
      <c r="E44" t="str">
        <f>_xlfn.XLOOKUP(C44,E25:E35,C25:C35,FALSE)</f>
        <v>Electronics</v>
      </c>
      <c r="F44">
        <f>_xlfn.XLOOKUP(C44,E25:E35,D25:D35,FALSE)</f>
        <v>1500</v>
      </c>
    </row>
    <row r="47" spans="1:16" ht="15.75" thickBot="1" x14ac:dyDescent="0.3"/>
    <row r="48" spans="1:16" ht="39.75" thickBot="1" x14ac:dyDescent="0.3">
      <c r="A48" s="5" t="s">
        <v>41</v>
      </c>
      <c r="B48" s="6" t="s">
        <v>42</v>
      </c>
      <c r="C48" s="5" t="s">
        <v>43</v>
      </c>
      <c r="D48" s="6" t="s">
        <v>44</v>
      </c>
      <c r="E48" s="6" t="s">
        <v>45</v>
      </c>
      <c r="F48" s="6" t="s">
        <v>46</v>
      </c>
      <c r="G48" s="5" t="s">
        <v>47</v>
      </c>
      <c r="H48" s="5" t="s">
        <v>48</v>
      </c>
      <c r="I48" s="6" t="s">
        <v>49</v>
      </c>
      <c r="J48" s="6" t="s">
        <v>50</v>
      </c>
      <c r="K48" s="5" t="s">
        <v>51</v>
      </c>
      <c r="M48" t="s">
        <v>41</v>
      </c>
      <c r="N48" t="s">
        <v>43</v>
      </c>
      <c r="O48" s="6" t="s">
        <v>46</v>
      </c>
      <c r="P48" t="s">
        <v>117</v>
      </c>
    </row>
    <row r="49" spans="1:16" ht="15.75" thickBot="1" x14ac:dyDescent="0.3">
      <c r="A49" s="7">
        <v>1001</v>
      </c>
      <c r="B49" s="8" t="s">
        <v>52</v>
      </c>
      <c r="C49" s="7">
        <v>28</v>
      </c>
      <c r="D49" s="8" t="s">
        <v>53</v>
      </c>
      <c r="E49" s="8" t="s">
        <v>54</v>
      </c>
      <c r="F49" s="8" t="s">
        <v>55</v>
      </c>
      <c r="G49" s="7">
        <v>65000</v>
      </c>
      <c r="H49" s="7">
        <v>4</v>
      </c>
      <c r="I49" s="8" t="s">
        <v>56</v>
      </c>
      <c r="J49" s="9">
        <v>44635</v>
      </c>
      <c r="K49" s="7">
        <v>4</v>
      </c>
      <c r="M49">
        <v>1003</v>
      </c>
      <c r="N49">
        <f>_xlfn.XLOOKUP(M49,A48:A77,C48:C77,FALSE)</f>
        <v>26</v>
      </c>
      <c r="O49" t="str">
        <f>_xlfn.XLOOKUP(M49,A48:A77,F48:F77,FALSE)</f>
        <v>Accountant</v>
      </c>
      <c r="P49">
        <f>_xlfn.XLOOKUP(M49,A48:A77,G48:G77,FALSE)</f>
        <v>52000</v>
      </c>
    </row>
    <row r="50" spans="1:16" ht="15.75" thickBot="1" x14ac:dyDescent="0.3">
      <c r="A50" s="7">
        <v>1002</v>
      </c>
      <c r="B50" s="8" t="s">
        <v>57</v>
      </c>
      <c r="C50" s="7">
        <v>32</v>
      </c>
      <c r="D50" s="8" t="s">
        <v>58</v>
      </c>
      <c r="E50" s="8" t="s">
        <v>59</v>
      </c>
      <c r="F50" s="8" t="s">
        <v>60</v>
      </c>
      <c r="G50" s="7">
        <v>85000</v>
      </c>
      <c r="H50" s="7">
        <v>8</v>
      </c>
      <c r="I50" s="8" t="s">
        <v>61</v>
      </c>
      <c r="J50" s="9">
        <v>43301</v>
      </c>
      <c r="K50" s="7">
        <v>5</v>
      </c>
      <c r="M50">
        <v>1007</v>
      </c>
      <c r="N50">
        <f t="shared" ref="N50:N52" si="0">_xlfn.XLOOKUP(M50,A49:A78,C49:C78,FALSE)</f>
        <v>31</v>
      </c>
      <c r="O50" t="str">
        <f t="shared" ref="O50:O52" si="1">_xlfn.XLOOKUP(M50,A49:A78,F49:F78,FALSE)</f>
        <v>Team Lead</v>
      </c>
      <c r="P50">
        <f t="shared" ref="P50:P52" si="2">_xlfn.XLOOKUP(M50,A49:A78,G49:G78,FALSE)</f>
        <v>98000</v>
      </c>
    </row>
    <row r="51" spans="1:16" ht="15.75" thickBot="1" x14ac:dyDescent="0.3">
      <c r="A51" s="7">
        <v>1003</v>
      </c>
      <c r="B51" s="8" t="s">
        <v>62</v>
      </c>
      <c r="C51" s="7">
        <v>26</v>
      </c>
      <c r="D51" s="8" t="s">
        <v>53</v>
      </c>
      <c r="E51" s="8" t="s">
        <v>63</v>
      </c>
      <c r="F51" s="8" t="s">
        <v>64</v>
      </c>
      <c r="G51" s="7">
        <v>52000</v>
      </c>
      <c r="H51" s="7">
        <v>3</v>
      </c>
      <c r="I51" s="8" t="s">
        <v>56</v>
      </c>
      <c r="J51" s="9">
        <v>44936</v>
      </c>
      <c r="K51" s="7">
        <v>3</v>
      </c>
      <c r="M51">
        <v>1006</v>
      </c>
      <c r="N51">
        <f t="shared" si="0"/>
        <v>27</v>
      </c>
      <c r="O51" t="str">
        <f t="shared" si="1"/>
        <v>Executive</v>
      </c>
      <c r="P51">
        <f t="shared" si="2"/>
        <v>48000</v>
      </c>
    </row>
    <row r="52" spans="1:16" ht="27" thickBot="1" x14ac:dyDescent="0.3">
      <c r="A52" s="7">
        <v>1004</v>
      </c>
      <c r="B52" s="8" t="s">
        <v>65</v>
      </c>
      <c r="C52" s="7">
        <v>30</v>
      </c>
      <c r="D52" s="8" t="s">
        <v>58</v>
      </c>
      <c r="E52" s="8" t="s">
        <v>54</v>
      </c>
      <c r="F52" s="8" t="s">
        <v>66</v>
      </c>
      <c r="G52" s="7">
        <v>72000</v>
      </c>
      <c r="H52" s="7">
        <v>5</v>
      </c>
      <c r="I52" s="8" t="s">
        <v>67</v>
      </c>
      <c r="J52" s="9">
        <v>44328</v>
      </c>
      <c r="K52" s="7">
        <v>4</v>
      </c>
      <c r="M52">
        <v>1008</v>
      </c>
      <c r="N52">
        <f t="shared" si="0"/>
        <v>29</v>
      </c>
      <c r="O52" t="str">
        <f t="shared" si="1"/>
        <v>Financial Analyst</v>
      </c>
      <c r="P52">
        <f t="shared" si="2"/>
        <v>68000</v>
      </c>
    </row>
    <row r="53" spans="1:16" ht="15.75" thickBot="1" x14ac:dyDescent="0.3">
      <c r="A53" s="7">
        <v>1005</v>
      </c>
      <c r="B53" s="8" t="s">
        <v>68</v>
      </c>
      <c r="C53" s="7">
        <v>35</v>
      </c>
      <c r="D53" s="8" t="s">
        <v>53</v>
      </c>
      <c r="E53" s="8" t="s">
        <v>69</v>
      </c>
      <c r="F53" s="8" t="s">
        <v>70</v>
      </c>
      <c r="G53" s="7">
        <v>90000</v>
      </c>
      <c r="H53" s="7">
        <v>10</v>
      </c>
      <c r="I53" s="8" t="s">
        <v>71</v>
      </c>
      <c r="J53" s="9">
        <v>42607</v>
      </c>
      <c r="K53" s="7">
        <v>5</v>
      </c>
    </row>
    <row r="54" spans="1:16" ht="15.75" thickBot="1" x14ac:dyDescent="0.3">
      <c r="A54" s="7">
        <v>1006</v>
      </c>
      <c r="B54" s="8" t="s">
        <v>72</v>
      </c>
      <c r="C54" s="7">
        <v>27</v>
      </c>
      <c r="D54" s="8" t="s">
        <v>58</v>
      </c>
      <c r="E54" s="8" t="s">
        <v>73</v>
      </c>
      <c r="F54" s="8" t="s">
        <v>74</v>
      </c>
      <c r="G54" s="7">
        <v>48000</v>
      </c>
      <c r="H54" s="7">
        <v>2</v>
      </c>
      <c r="I54" s="8" t="s">
        <v>56</v>
      </c>
      <c r="J54" s="9">
        <v>45340</v>
      </c>
      <c r="K54" s="7">
        <v>3</v>
      </c>
      <c r="M54" s="6" t="s">
        <v>42</v>
      </c>
      <c r="N54" s="6" t="s">
        <v>50</v>
      </c>
      <c r="O54" t="s">
        <v>118</v>
      </c>
    </row>
    <row r="55" spans="1:16" ht="27" thickBot="1" x14ac:dyDescent="0.3">
      <c r="A55" s="7">
        <v>1007</v>
      </c>
      <c r="B55" s="8" t="s">
        <v>75</v>
      </c>
      <c r="C55" s="7">
        <v>31</v>
      </c>
      <c r="D55" s="8" t="s">
        <v>53</v>
      </c>
      <c r="E55" s="8" t="s">
        <v>54</v>
      </c>
      <c r="F55" s="8" t="s">
        <v>76</v>
      </c>
      <c r="G55" s="7">
        <v>98000</v>
      </c>
      <c r="H55" s="7">
        <v>9</v>
      </c>
      <c r="I55" s="8" t="s">
        <v>77</v>
      </c>
      <c r="J55" s="9">
        <v>43044</v>
      </c>
      <c r="K55" s="7">
        <v>4</v>
      </c>
      <c r="M55" s="8" t="s">
        <v>68</v>
      </c>
      <c r="N55">
        <f>_xlfn.XLOOKUP(M55,B48:B77,J48:J77,FALSE)</f>
        <v>42607</v>
      </c>
      <c r="O55" t="str" cm="1">
        <f t="array" ref="O55">+_xlfn.XLOOKUP(M55,B48:B77,I48:I77,fals)</f>
        <v>Pune</v>
      </c>
    </row>
    <row r="56" spans="1:16" ht="27" thickBot="1" x14ac:dyDescent="0.3">
      <c r="A56" s="7">
        <v>1008</v>
      </c>
      <c r="B56" s="8" t="s">
        <v>78</v>
      </c>
      <c r="C56" s="7">
        <v>29</v>
      </c>
      <c r="D56" s="8" t="s">
        <v>58</v>
      </c>
      <c r="E56" s="8" t="s">
        <v>63</v>
      </c>
      <c r="F56" s="8" t="s">
        <v>79</v>
      </c>
      <c r="G56" s="7">
        <v>68000</v>
      </c>
      <c r="H56" s="7">
        <v>5</v>
      </c>
      <c r="I56" s="8" t="s">
        <v>67</v>
      </c>
      <c r="J56" s="9">
        <v>44453</v>
      </c>
      <c r="K56" s="7">
        <v>4</v>
      </c>
      <c r="M56" t="s">
        <v>72</v>
      </c>
      <c r="N56">
        <f t="shared" ref="N56:N60" si="3">_xlfn.XLOOKUP(M56,B49:B78,J49:J78,FALSE)</f>
        <v>45340</v>
      </c>
      <c r="O56" t="str" cm="1">
        <f t="array" ref="O56">+_xlfn.XLOOKUP(M56,B49:B78,I49:I78,fals)</f>
        <v>Delhi</v>
      </c>
    </row>
    <row r="57" spans="1:16" ht="15.75" thickBot="1" x14ac:dyDescent="0.3">
      <c r="A57" s="7">
        <v>1009</v>
      </c>
      <c r="B57" s="8" t="s">
        <v>80</v>
      </c>
      <c r="C57" s="7">
        <v>25</v>
      </c>
      <c r="D57" s="8" t="s">
        <v>53</v>
      </c>
      <c r="E57" s="8" t="s">
        <v>69</v>
      </c>
      <c r="F57" s="8" t="s">
        <v>81</v>
      </c>
      <c r="G57" s="7">
        <v>45000</v>
      </c>
      <c r="H57" s="7">
        <v>2</v>
      </c>
      <c r="I57" s="8" t="s">
        <v>61</v>
      </c>
      <c r="J57" s="9">
        <v>45313</v>
      </c>
      <c r="K57" s="7">
        <v>3</v>
      </c>
      <c r="M57" t="s">
        <v>75</v>
      </c>
      <c r="N57">
        <f t="shared" si="3"/>
        <v>43044</v>
      </c>
      <c r="O57" t="str" cm="1">
        <f t="array" ref="O57">+_xlfn.XLOOKUP(M57,B50:B79,I50:I79,fals)</f>
        <v>Hyderabad</v>
      </c>
    </row>
    <row r="58" spans="1:16" ht="15.75" thickBot="1" x14ac:dyDescent="0.3">
      <c r="A58" s="7">
        <v>1010</v>
      </c>
      <c r="B58" s="8" t="s">
        <v>82</v>
      </c>
      <c r="C58" s="7">
        <v>34</v>
      </c>
      <c r="D58" s="8" t="s">
        <v>58</v>
      </c>
      <c r="E58" s="8" t="s">
        <v>59</v>
      </c>
      <c r="F58" s="8" t="s">
        <v>83</v>
      </c>
      <c r="G58" s="7">
        <v>58000</v>
      </c>
      <c r="H58" s="7">
        <v>6</v>
      </c>
      <c r="I58" s="8" t="s">
        <v>56</v>
      </c>
      <c r="J58" s="9">
        <v>43993</v>
      </c>
      <c r="K58" s="7">
        <v>4</v>
      </c>
      <c r="M58" t="s">
        <v>78</v>
      </c>
      <c r="N58">
        <f t="shared" si="3"/>
        <v>44453</v>
      </c>
      <c r="O58" t="str" cm="1">
        <f t="array" ref="O58">+_xlfn.XLOOKUP(M58,B51:B80,I51:I80,fals)</f>
        <v>Bangalore</v>
      </c>
    </row>
    <row r="59" spans="1:16" ht="27" thickBot="1" x14ac:dyDescent="0.3">
      <c r="A59" s="7">
        <v>1011</v>
      </c>
      <c r="B59" s="8" t="s">
        <v>84</v>
      </c>
      <c r="C59" s="7">
        <v>29</v>
      </c>
      <c r="D59" s="8" t="s">
        <v>53</v>
      </c>
      <c r="E59" s="8" t="s">
        <v>54</v>
      </c>
      <c r="F59" s="8" t="s">
        <v>55</v>
      </c>
      <c r="G59" s="7">
        <v>70000</v>
      </c>
      <c r="H59" s="7">
        <v>5</v>
      </c>
      <c r="I59" s="8" t="s">
        <v>85</v>
      </c>
      <c r="J59" s="9">
        <v>44263</v>
      </c>
      <c r="K59" s="7">
        <v>5</v>
      </c>
      <c r="M59" t="s">
        <v>80</v>
      </c>
      <c r="N59">
        <f t="shared" si="3"/>
        <v>45313</v>
      </c>
      <c r="O59" t="str" cm="1">
        <f t="array" ref="O59">+_xlfn.XLOOKUP(M59,B52:B81,I52:I81,fals)</f>
        <v>Mumbai</v>
      </c>
    </row>
    <row r="60" spans="1:16" ht="15.75" thickBot="1" x14ac:dyDescent="0.3">
      <c r="A60" s="7">
        <v>1012</v>
      </c>
      <c r="B60" s="8" t="s">
        <v>86</v>
      </c>
      <c r="C60" s="7">
        <v>38</v>
      </c>
      <c r="D60" s="8" t="s">
        <v>58</v>
      </c>
      <c r="E60" s="8" t="s">
        <v>63</v>
      </c>
      <c r="F60" s="8" t="s">
        <v>87</v>
      </c>
      <c r="G60" s="7">
        <v>105000</v>
      </c>
      <c r="H60" s="7">
        <v>12</v>
      </c>
      <c r="I60" s="8" t="s">
        <v>71</v>
      </c>
      <c r="J60" s="9">
        <v>41746</v>
      </c>
      <c r="K60" s="7">
        <v>5</v>
      </c>
      <c r="M60" t="s">
        <v>82</v>
      </c>
      <c r="N60">
        <f t="shared" si="3"/>
        <v>43993</v>
      </c>
      <c r="O60" t="str" cm="1">
        <f t="array" ref="O60">+_xlfn.XLOOKUP(M60,B53:B82,I53:I82,fals)</f>
        <v>Delhi</v>
      </c>
    </row>
    <row r="61" spans="1:16" ht="15.75" thickBot="1" x14ac:dyDescent="0.3">
      <c r="A61" s="7">
        <v>1013</v>
      </c>
      <c r="B61" s="8" t="s">
        <v>88</v>
      </c>
      <c r="C61" s="7">
        <v>27</v>
      </c>
      <c r="D61" s="8" t="s">
        <v>53</v>
      </c>
      <c r="E61" s="8" t="s">
        <v>73</v>
      </c>
      <c r="F61" s="8" t="s">
        <v>74</v>
      </c>
      <c r="G61" s="7">
        <v>50000</v>
      </c>
      <c r="H61" s="7">
        <v>3</v>
      </c>
      <c r="I61" s="8" t="s">
        <v>89</v>
      </c>
      <c r="J61" s="9">
        <v>45108</v>
      </c>
      <c r="K61" s="7">
        <v>3</v>
      </c>
    </row>
    <row r="62" spans="1:16" ht="27.75" thickBot="1" x14ac:dyDescent="0.35">
      <c r="A62" s="7">
        <v>1014</v>
      </c>
      <c r="B62" s="8" t="s">
        <v>90</v>
      </c>
      <c r="C62" s="7">
        <v>33</v>
      </c>
      <c r="D62" s="8" t="s">
        <v>58</v>
      </c>
      <c r="E62" s="8" t="s">
        <v>54</v>
      </c>
      <c r="F62" s="8" t="s">
        <v>91</v>
      </c>
      <c r="G62" s="7">
        <v>110000</v>
      </c>
      <c r="H62" s="7">
        <v>11</v>
      </c>
      <c r="I62" s="8" t="s">
        <v>67</v>
      </c>
      <c r="J62" s="9">
        <v>42296</v>
      </c>
      <c r="K62" s="7">
        <v>5</v>
      </c>
      <c r="M62" s="10" t="s">
        <v>119</v>
      </c>
    </row>
    <row r="63" spans="1:16" ht="17.25" thickBot="1" x14ac:dyDescent="0.35">
      <c r="A63" s="7">
        <v>1015</v>
      </c>
      <c r="B63" s="8" t="s">
        <v>92</v>
      </c>
      <c r="C63" s="7">
        <v>30</v>
      </c>
      <c r="D63" s="8" t="s">
        <v>53</v>
      </c>
      <c r="E63" s="8" t="s">
        <v>69</v>
      </c>
      <c r="F63" s="8" t="s">
        <v>81</v>
      </c>
      <c r="G63" s="7">
        <v>47000</v>
      </c>
      <c r="H63" s="7">
        <v>4</v>
      </c>
      <c r="I63" s="8" t="s">
        <v>93</v>
      </c>
      <c r="J63" s="9">
        <v>44900</v>
      </c>
      <c r="K63" s="7">
        <v>3</v>
      </c>
      <c r="M63" s="10" t="s">
        <v>120</v>
      </c>
    </row>
    <row r="64" spans="1:16" ht="15.75" thickBot="1" x14ac:dyDescent="0.3">
      <c r="A64" s="7">
        <v>1016</v>
      </c>
      <c r="B64" s="8" t="s">
        <v>94</v>
      </c>
      <c r="C64" s="7">
        <v>26</v>
      </c>
      <c r="D64" s="8" t="s">
        <v>58</v>
      </c>
      <c r="E64" s="8" t="s">
        <v>59</v>
      </c>
      <c r="F64" s="8" t="s">
        <v>95</v>
      </c>
      <c r="G64" s="7">
        <v>46000</v>
      </c>
      <c r="H64" s="7">
        <v>2</v>
      </c>
      <c r="I64" s="8" t="s">
        <v>56</v>
      </c>
      <c r="J64" s="9">
        <v>45363</v>
      </c>
      <c r="K64" s="7">
        <v>4</v>
      </c>
    </row>
    <row r="65" spans="1:11" ht="27" thickBot="1" x14ac:dyDescent="0.3">
      <c r="A65" s="7">
        <v>1017</v>
      </c>
      <c r="B65" s="8" t="s">
        <v>96</v>
      </c>
      <c r="C65" s="7">
        <v>40</v>
      </c>
      <c r="D65" s="8" t="s">
        <v>53</v>
      </c>
      <c r="E65" s="8" t="s">
        <v>54</v>
      </c>
      <c r="F65" s="8" t="s">
        <v>97</v>
      </c>
      <c r="G65" s="7">
        <v>125000</v>
      </c>
      <c r="H65" s="7">
        <v>15</v>
      </c>
      <c r="I65" s="8" t="s">
        <v>77</v>
      </c>
      <c r="J65" s="9">
        <v>40595</v>
      </c>
      <c r="K65" s="7">
        <v>5</v>
      </c>
    </row>
    <row r="66" spans="1:11" ht="15.75" thickBot="1" x14ac:dyDescent="0.3">
      <c r="A66" s="7">
        <v>1018</v>
      </c>
      <c r="B66" s="8" t="s">
        <v>98</v>
      </c>
      <c r="C66" s="7">
        <v>31</v>
      </c>
      <c r="D66" s="8" t="s">
        <v>58</v>
      </c>
      <c r="E66" s="8" t="s">
        <v>73</v>
      </c>
      <c r="F66" s="8" t="s">
        <v>99</v>
      </c>
      <c r="G66" s="7">
        <v>92000</v>
      </c>
      <c r="H66" s="7">
        <v>8</v>
      </c>
      <c r="I66" s="8" t="s">
        <v>61</v>
      </c>
      <c r="J66" s="9">
        <v>43353</v>
      </c>
      <c r="K66" s="7">
        <v>4</v>
      </c>
    </row>
    <row r="67" spans="1:11" ht="27" thickBot="1" x14ac:dyDescent="0.3">
      <c r="A67" s="7">
        <v>1019</v>
      </c>
      <c r="B67" s="8" t="s">
        <v>100</v>
      </c>
      <c r="C67" s="7">
        <v>28</v>
      </c>
      <c r="D67" s="8" t="s">
        <v>53</v>
      </c>
      <c r="E67" s="8" t="s">
        <v>63</v>
      </c>
      <c r="F67" s="8" t="s">
        <v>64</v>
      </c>
      <c r="G67" s="7">
        <v>55000</v>
      </c>
      <c r="H67" s="7">
        <v>4</v>
      </c>
      <c r="I67" s="8" t="s">
        <v>85</v>
      </c>
      <c r="J67" s="9">
        <v>44728</v>
      </c>
      <c r="K67" s="7">
        <v>3</v>
      </c>
    </row>
    <row r="68" spans="1:11" ht="27" thickBot="1" x14ac:dyDescent="0.3">
      <c r="A68" s="7">
        <v>1020</v>
      </c>
      <c r="B68" s="8" t="s">
        <v>101</v>
      </c>
      <c r="C68" s="7">
        <v>29</v>
      </c>
      <c r="D68" s="8" t="s">
        <v>58</v>
      </c>
      <c r="E68" s="8" t="s">
        <v>69</v>
      </c>
      <c r="F68" s="8" t="s">
        <v>81</v>
      </c>
      <c r="G68" s="7">
        <v>49000</v>
      </c>
      <c r="H68" s="7">
        <v>3</v>
      </c>
      <c r="I68" s="8" t="s">
        <v>102</v>
      </c>
      <c r="J68" s="9">
        <v>45041</v>
      </c>
      <c r="K68" s="7">
        <v>4</v>
      </c>
    </row>
    <row r="69" spans="1:11" ht="15.75" thickBot="1" x14ac:dyDescent="0.3">
      <c r="A69" s="7">
        <v>1021</v>
      </c>
      <c r="B69" s="8" t="s">
        <v>103</v>
      </c>
      <c r="C69" s="7">
        <v>36</v>
      </c>
      <c r="D69" s="8" t="s">
        <v>53</v>
      </c>
      <c r="E69" s="8" t="s">
        <v>54</v>
      </c>
      <c r="F69" s="8" t="s">
        <v>104</v>
      </c>
      <c r="G69" s="7">
        <v>135000</v>
      </c>
      <c r="H69" s="7">
        <v>13</v>
      </c>
      <c r="I69" s="8" t="s">
        <v>71</v>
      </c>
      <c r="J69" s="9">
        <v>41495</v>
      </c>
      <c r="K69" s="7">
        <v>5</v>
      </c>
    </row>
    <row r="70" spans="1:11" ht="15.75" thickBot="1" x14ac:dyDescent="0.3">
      <c r="A70" s="7">
        <v>1022</v>
      </c>
      <c r="B70" s="8" t="s">
        <v>105</v>
      </c>
      <c r="C70" s="7">
        <v>27</v>
      </c>
      <c r="D70" s="8" t="s">
        <v>58</v>
      </c>
      <c r="E70" s="8" t="s">
        <v>59</v>
      </c>
      <c r="F70" s="8" t="s">
        <v>83</v>
      </c>
      <c r="G70" s="7">
        <v>54000</v>
      </c>
      <c r="H70" s="7">
        <v>3</v>
      </c>
      <c r="I70" s="8" t="s">
        <v>106</v>
      </c>
      <c r="J70" s="9">
        <v>44971</v>
      </c>
      <c r="K70" s="7">
        <v>3</v>
      </c>
    </row>
    <row r="71" spans="1:11" ht="27" thickBot="1" x14ac:dyDescent="0.3">
      <c r="A71" s="7">
        <v>1023</v>
      </c>
      <c r="B71" s="8" t="s">
        <v>107</v>
      </c>
      <c r="C71" s="7">
        <v>32</v>
      </c>
      <c r="D71" s="8" t="s">
        <v>53</v>
      </c>
      <c r="E71" s="8" t="s">
        <v>69</v>
      </c>
      <c r="F71" s="8" t="s">
        <v>70</v>
      </c>
      <c r="G71" s="7">
        <v>88000</v>
      </c>
      <c r="H71" s="7">
        <v>9</v>
      </c>
      <c r="I71" s="8" t="s">
        <v>77</v>
      </c>
      <c r="J71" s="9">
        <v>42877</v>
      </c>
      <c r="K71" s="7">
        <v>4</v>
      </c>
    </row>
    <row r="72" spans="1:11" ht="15.75" thickBot="1" x14ac:dyDescent="0.3">
      <c r="A72" s="7">
        <v>1024</v>
      </c>
      <c r="B72" s="8" t="s">
        <v>108</v>
      </c>
      <c r="C72" s="7">
        <v>30</v>
      </c>
      <c r="D72" s="8" t="s">
        <v>58</v>
      </c>
      <c r="E72" s="8" t="s">
        <v>63</v>
      </c>
      <c r="F72" s="8" t="s">
        <v>79</v>
      </c>
      <c r="G72" s="7">
        <v>65000</v>
      </c>
      <c r="H72" s="7">
        <v>5</v>
      </c>
      <c r="I72" s="8" t="s">
        <v>109</v>
      </c>
      <c r="J72" s="9">
        <v>44503</v>
      </c>
      <c r="K72" s="7">
        <v>4</v>
      </c>
    </row>
    <row r="73" spans="1:11" ht="15.75" thickBot="1" x14ac:dyDescent="0.3">
      <c r="A73" s="7">
        <v>1025</v>
      </c>
      <c r="B73" s="8" t="s">
        <v>110</v>
      </c>
      <c r="C73" s="7">
        <v>42</v>
      </c>
      <c r="D73" s="8" t="s">
        <v>53</v>
      </c>
      <c r="E73" s="8" t="s">
        <v>54</v>
      </c>
      <c r="F73" s="8" t="s">
        <v>111</v>
      </c>
      <c r="G73" s="7">
        <v>145000</v>
      </c>
      <c r="H73" s="7">
        <v>18</v>
      </c>
      <c r="I73" s="8" t="s">
        <v>56</v>
      </c>
      <c r="J73" s="9">
        <v>39462</v>
      </c>
      <c r="K73" s="7">
        <v>5</v>
      </c>
    </row>
    <row r="74" spans="1:11" ht="15.75" thickBot="1" x14ac:dyDescent="0.3">
      <c r="A74" s="7">
        <v>1026</v>
      </c>
      <c r="B74" s="8" t="s">
        <v>112</v>
      </c>
      <c r="C74" s="7">
        <v>25</v>
      </c>
      <c r="D74" s="8" t="s">
        <v>58</v>
      </c>
      <c r="E74" s="8" t="s">
        <v>73</v>
      </c>
      <c r="F74" s="8" t="s">
        <v>74</v>
      </c>
      <c r="G74" s="7">
        <v>44000</v>
      </c>
      <c r="H74" s="7">
        <v>1</v>
      </c>
      <c r="I74" s="8" t="s">
        <v>89</v>
      </c>
      <c r="J74" s="9">
        <v>45667</v>
      </c>
      <c r="K74" s="7">
        <v>3</v>
      </c>
    </row>
    <row r="75" spans="1:11" ht="15.75" thickBot="1" x14ac:dyDescent="0.3">
      <c r="A75" s="7">
        <v>1027</v>
      </c>
      <c r="B75" s="8" t="s">
        <v>113</v>
      </c>
      <c r="C75" s="7">
        <v>34</v>
      </c>
      <c r="D75" s="8" t="s">
        <v>53</v>
      </c>
      <c r="E75" s="8" t="s">
        <v>63</v>
      </c>
      <c r="F75" s="8" t="s">
        <v>114</v>
      </c>
      <c r="G75" s="7">
        <v>78000</v>
      </c>
      <c r="H75" s="7">
        <v>8</v>
      </c>
      <c r="I75" s="8" t="s">
        <v>56</v>
      </c>
      <c r="J75" s="9">
        <v>43446</v>
      </c>
      <c r="K75" s="7">
        <v>4</v>
      </c>
    </row>
    <row r="76" spans="1:11" ht="15.75" thickBot="1" x14ac:dyDescent="0.3">
      <c r="A76" s="7">
        <v>1028</v>
      </c>
      <c r="B76" s="8" t="s">
        <v>115</v>
      </c>
      <c r="C76" s="7">
        <v>28</v>
      </c>
      <c r="D76" s="8" t="s">
        <v>58</v>
      </c>
      <c r="E76" s="8" t="s">
        <v>54</v>
      </c>
      <c r="F76" s="8" t="s">
        <v>66</v>
      </c>
      <c r="G76" s="7">
        <v>69000</v>
      </c>
      <c r="H76" s="7">
        <v>4</v>
      </c>
      <c r="I76" s="8" t="s">
        <v>61</v>
      </c>
      <c r="J76" s="9">
        <v>44699</v>
      </c>
      <c r="K76" s="7">
        <v>4</v>
      </c>
    </row>
    <row r="77" spans="1:11" ht="27" thickBot="1" x14ac:dyDescent="0.3">
      <c r="A77" s="7">
        <v>1029</v>
      </c>
      <c r="B77" s="8" t="s">
        <v>116</v>
      </c>
      <c r="C77" s="7">
        <v>37</v>
      </c>
      <c r="D77" s="8" t="s">
        <v>53</v>
      </c>
      <c r="E77" s="8" t="s">
        <v>69</v>
      </c>
      <c r="F77" s="8" t="s">
        <v>70</v>
      </c>
      <c r="G77" s="7">
        <v>95000</v>
      </c>
      <c r="H77" s="7">
        <v>11</v>
      </c>
      <c r="I77" s="8" t="s">
        <v>85</v>
      </c>
      <c r="J77" s="9">
        <v>42185</v>
      </c>
      <c r="K77" s="8"/>
    </row>
    <row r="79" spans="1:11" ht="16.5" x14ac:dyDescent="0.3">
      <c r="G79">
        <f>SUM(G49:G77)</f>
        <v>2203000</v>
      </c>
      <c r="H79" s="10">
        <f>SUMIF(E48:E77,"HR",G48:G77)</f>
        <v>243000</v>
      </c>
    </row>
    <row r="80" spans="1:11" ht="16.5" x14ac:dyDescent="0.3">
      <c r="H80" s="10">
        <f>COUNTIF(D48:D77,"Male")</f>
        <v>15</v>
      </c>
    </row>
    <row r="81" spans="8:8" ht="16.5" x14ac:dyDescent="0.3">
      <c r="H81" s="10">
        <f>+COUNTIF(D48:D77,"FeMale")</f>
        <v>14</v>
      </c>
    </row>
    <row r="83" spans="8:8" ht="16.5" x14ac:dyDescent="0.3">
      <c r="H83" s="11" t="s">
        <v>121</v>
      </c>
    </row>
    <row r="84" spans="8:8" ht="16.5" x14ac:dyDescent="0.3">
      <c r="H84" s="10">
        <f>SUMIF(E:E,"HR",G:G)</f>
        <v>243000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490FD-E8E7-4A88-9C24-268E9453DF93}">
  <dimension ref="A1:N19"/>
  <sheetViews>
    <sheetView tabSelected="1" workbookViewId="0">
      <selection activeCell="G29" sqref="G29"/>
    </sheetView>
  </sheetViews>
  <sheetFormatPr defaultRowHeight="15" x14ac:dyDescent="0.25"/>
  <sheetData>
    <row r="1" spans="1:14" ht="30.75" thickBot="1" x14ac:dyDescent="0.3">
      <c r="A1" s="14" t="s">
        <v>42</v>
      </c>
      <c r="B1" s="14" t="s">
        <v>43</v>
      </c>
      <c r="C1" s="14" t="s">
        <v>44</v>
      </c>
      <c r="D1" s="14" t="s">
        <v>163</v>
      </c>
      <c r="E1" s="14" t="s">
        <v>47</v>
      </c>
      <c r="F1" s="14" t="s">
        <v>164</v>
      </c>
      <c r="G1" s="8"/>
      <c r="H1" s="14" t="s">
        <v>165</v>
      </c>
      <c r="I1" s="14" t="s">
        <v>163</v>
      </c>
      <c r="J1" s="14" t="s">
        <v>42</v>
      </c>
      <c r="K1" s="14" t="s">
        <v>44</v>
      </c>
      <c r="L1" s="14" t="s">
        <v>47</v>
      </c>
      <c r="M1" s="14" t="s">
        <v>164</v>
      </c>
      <c r="N1" s="14" t="s">
        <v>43</v>
      </c>
    </row>
    <row r="2" spans="1:14" ht="15.75" thickBot="1" x14ac:dyDescent="0.3">
      <c r="A2" s="15" t="s">
        <v>166</v>
      </c>
      <c r="B2" s="16">
        <v>30</v>
      </c>
      <c r="C2" s="15" t="s">
        <v>167</v>
      </c>
      <c r="D2" s="15" t="s">
        <v>168</v>
      </c>
      <c r="E2" s="16">
        <v>45000</v>
      </c>
      <c r="F2" s="15" t="s">
        <v>54</v>
      </c>
      <c r="G2" s="8"/>
      <c r="H2" s="8"/>
      <c r="I2" s="15" t="s">
        <v>169</v>
      </c>
      <c r="J2" s="8" t="str">
        <f>INDEX($A1:$A19,MATCH(D5,$D1:$D19,0))</f>
        <v>Kanchan</v>
      </c>
      <c r="K2" s="8" t="str">
        <f>INDEX(C1:C19, MATCH(D5,D1:D19,0))</f>
        <v>F</v>
      </c>
      <c r="L2" s="8">
        <f>INDEX(E1:E19, MATCH(D5,D1:D19,0))</f>
        <v>28000</v>
      </c>
      <c r="M2" s="8" t="str">
        <f>INDEX(F1:F19,MATCH("E4181",D1:D19,0))</f>
        <v>HR</v>
      </c>
      <c r="N2" s="8">
        <f>INDEX(B1:B19,  MATCH("E4181",D1:D19,0))</f>
        <v>27</v>
      </c>
    </row>
    <row r="3" spans="1:14" ht="15.75" thickBot="1" x14ac:dyDescent="0.3">
      <c r="A3" s="15" t="s">
        <v>170</v>
      </c>
      <c r="B3" s="16">
        <v>28</v>
      </c>
      <c r="C3" s="15" t="s">
        <v>167</v>
      </c>
      <c r="D3" s="15" t="s">
        <v>171</v>
      </c>
      <c r="E3" s="16">
        <v>38000</v>
      </c>
      <c r="F3" s="15" t="s">
        <v>69</v>
      </c>
      <c r="G3" s="8"/>
      <c r="H3" s="8"/>
      <c r="I3" s="15" t="s">
        <v>172</v>
      </c>
      <c r="J3" s="8" t="str">
        <f>INDEX($A$2:$A$20,MATCH(D17,$D$2:$D$20,0))</f>
        <v>Hitesh</v>
      </c>
      <c r="K3" s="8" t="str">
        <f>INDEX(C2:C20, MATCH(D17,D2:D20,0))</f>
        <v>M</v>
      </c>
      <c r="L3" s="8">
        <f>INDEX(E2:E20, MATCH("E4193",D2:D20,0))</f>
        <v>41500</v>
      </c>
      <c r="M3" s="8" t="str">
        <f>INDEX(F2:F20,MATCH("E4193",D2:D20,0))</f>
        <v>Logistics</v>
      </c>
      <c r="N3" s="8">
        <f>INDEX(B2:B20,  MATCH("E4193",D2:D20,0))</f>
        <v>25</v>
      </c>
    </row>
    <row r="4" spans="1:14" ht="15.75" thickBot="1" x14ac:dyDescent="0.3">
      <c r="A4" s="15" t="s">
        <v>173</v>
      </c>
      <c r="B4" s="16">
        <v>27</v>
      </c>
      <c r="C4" s="15" t="s">
        <v>167</v>
      </c>
      <c r="D4" s="15" t="s">
        <v>174</v>
      </c>
      <c r="E4" s="16">
        <v>34500</v>
      </c>
      <c r="F4" s="15" t="s">
        <v>69</v>
      </c>
      <c r="G4" s="8"/>
      <c r="H4" s="8"/>
      <c r="I4" s="15" t="s">
        <v>183</v>
      </c>
      <c r="J4" s="8" t="str">
        <f>INDEX($A3:$A21,MATCH(D8,$D3:$D21,0))</f>
        <v>Niharika</v>
      </c>
      <c r="K4" s="8" t="str">
        <f>INDEX(C3:C21, MATCH(D18,D3:D21,0))</f>
        <v>F</v>
      </c>
      <c r="L4" s="8">
        <f>INDEX(E3:E21, MATCH("E4184",D3:D21,0))</f>
        <v>25000</v>
      </c>
      <c r="M4" s="8" t="str">
        <f>INDEX(F3:F21,MATCH("E4184",D3:D21,0))</f>
        <v>Admin</v>
      </c>
      <c r="N4" s="8">
        <f>INDEX(B3:B21,  MATCH("E4184",D3:D21,0))</f>
        <v>23</v>
      </c>
    </row>
    <row r="5" spans="1:14" ht="15.75" thickBot="1" x14ac:dyDescent="0.3">
      <c r="A5" s="15" t="s">
        <v>175</v>
      </c>
      <c r="B5" s="16">
        <v>27</v>
      </c>
      <c r="C5" s="15" t="s">
        <v>176</v>
      </c>
      <c r="D5" s="15" t="s">
        <v>169</v>
      </c>
      <c r="E5" s="16">
        <v>28000</v>
      </c>
      <c r="F5" s="15" t="s">
        <v>59</v>
      </c>
      <c r="G5" s="8"/>
      <c r="H5" s="8"/>
      <c r="I5" s="8" t="s">
        <v>178</v>
      </c>
      <c r="J5" s="8" t="str">
        <f>INDEX($A1:$A19,MATCH(D6,$D1:$D19,0))</f>
        <v>Vibhor</v>
      </c>
      <c r="K5" s="8"/>
      <c r="L5" s="8"/>
      <c r="M5" s="8"/>
      <c r="N5" s="8"/>
    </row>
    <row r="6" spans="1:14" ht="15.75" thickBot="1" x14ac:dyDescent="0.3">
      <c r="A6" s="15" t="s">
        <v>177</v>
      </c>
      <c r="B6" s="16">
        <v>28</v>
      </c>
      <c r="C6" s="15" t="s">
        <v>167</v>
      </c>
      <c r="D6" s="15" t="s">
        <v>178</v>
      </c>
      <c r="E6" s="16">
        <v>42500</v>
      </c>
      <c r="F6" s="15" t="s">
        <v>179</v>
      </c>
      <c r="G6" s="8"/>
      <c r="H6" s="8"/>
      <c r="I6" s="8" t="s">
        <v>181</v>
      </c>
      <c r="J6" s="8" t="str">
        <f>INDEX($A2:$A20,MATCH(D7,$D2:$D20,0))</f>
        <v>Shubham</v>
      </c>
      <c r="K6" s="8"/>
      <c r="L6" s="8"/>
      <c r="M6" s="8"/>
      <c r="N6" s="8"/>
    </row>
    <row r="7" spans="1:14" ht="30.75" thickBot="1" x14ac:dyDescent="0.3">
      <c r="A7" s="15" t="s">
        <v>180</v>
      </c>
      <c r="B7" s="16">
        <v>27</v>
      </c>
      <c r="C7" s="15" t="s">
        <v>167</v>
      </c>
      <c r="D7" s="15" t="s">
        <v>181</v>
      </c>
      <c r="E7" s="16">
        <v>30000</v>
      </c>
      <c r="F7" s="15" t="s">
        <v>59</v>
      </c>
      <c r="G7" s="8"/>
      <c r="H7" s="8"/>
      <c r="I7" s="8"/>
      <c r="J7" s="8"/>
      <c r="K7" s="8"/>
      <c r="L7" s="8"/>
      <c r="M7" s="8"/>
      <c r="N7" s="8"/>
    </row>
    <row r="8" spans="1:14" ht="15.75" thickBot="1" x14ac:dyDescent="0.3">
      <c r="A8" s="15" t="s">
        <v>182</v>
      </c>
      <c r="B8" s="16">
        <v>23</v>
      </c>
      <c r="C8" s="15" t="s">
        <v>176</v>
      </c>
      <c r="D8" s="15" t="s">
        <v>183</v>
      </c>
      <c r="E8" s="16">
        <v>25000</v>
      </c>
      <c r="F8" s="15" t="s">
        <v>179</v>
      </c>
      <c r="G8" s="8"/>
      <c r="H8" s="8"/>
      <c r="I8" s="8"/>
      <c r="J8" s="8"/>
      <c r="K8" s="8"/>
      <c r="L8" s="8"/>
      <c r="M8" s="8"/>
      <c r="N8" s="8"/>
    </row>
    <row r="9" spans="1:14" ht="15.75" thickBot="1" x14ac:dyDescent="0.3">
      <c r="A9" s="15" t="s">
        <v>184</v>
      </c>
      <c r="B9" s="16">
        <v>31</v>
      </c>
      <c r="C9" s="15" t="s">
        <v>167</v>
      </c>
      <c r="D9" s="15" t="s">
        <v>185</v>
      </c>
      <c r="E9" s="16">
        <v>34000</v>
      </c>
      <c r="F9" s="15" t="s">
        <v>54</v>
      </c>
      <c r="G9" s="8"/>
      <c r="H9" s="14" t="s">
        <v>186</v>
      </c>
      <c r="I9" s="14" t="s">
        <v>163</v>
      </c>
      <c r="J9" s="14" t="s">
        <v>42</v>
      </c>
      <c r="K9" s="14" t="s">
        <v>43</v>
      </c>
      <c r="L9" s="14" t="s">
        <v>44</v>
      </c>
      <c r="M9" s="14" t="s">
        <v>47</v>
      </c>
      <c r="N9" s="14" t="s">
        <v>164</v>
      </c>
    </row>
    <row r="10" spans="1:14" ht="15.75" thickBot="1" x14ac:dyDescent="0.3">
      <c r="A10" s="15" t="s">
        <v>187</v>
      </c>
      <c r="B10" s="16">
        <v>32</v>
      </c>
      <c r="C10" s="15" t="s">
        <v>167</v>
      </c>
      <c r="D10" s="15" t="s">
        <v>188</v>
      </c>
      <c r="E10" s="16">
        <v>35000</v>
      </c>
      <c r="F10" s="15" t="s">
        <v>54</v>
      </c>
      <c r="G10" s="8"/>
      <c r="H10" s="8"/>
      <c r="I10" s="15" t="s">
        <v>189</v>
      </c>
      <c r="J10" s="8" t="str">
        <f>_xlfn.XLOOKUP(Sheet3!I10,Sheet3!D1:D19,Sheet3!A1:A19,FALSE)</f>
        <v>Jyotsana</v>
      </c>
      <c r="K10" s="8">
        <f>_xlfn.XLOOKUP(I10,D1:D19,B1:B19,FALSE)</f>
        <v>27</v>
      </c>
      <c r="L10" s="8" t="str">
        <f>_xlfn.XLOOKUP(I10,D1:D19,C1:C19,FALSE)</f>
        <v>F</v>
      </c>
      <c r="M10" s="8">
        <f>_xlfn.XLOOKUP(I10,D1:D19,E1:E19,FALSE)</f>
        <v>42500</v>
      </c>
      <c r="N10" s="8" t="str">
        <f>_xlfn.XLOOKUP(I10,D1:D19,F1:F19,FALSE)</f>
        <v>Sales</v>
      </c>
    </row>
    <row r="11" spans="1:14" ht="15.75" thickBot="1" x14ac:dyDescent="0.3">
      <c r="A11" s="15" t="s">
        <v>190</v>
      </c>
      <c r="B11" s="16">
        <v>28</v>
      </c>
      <c r="C11" s="15" t="s">
        <v>167</v>
      </c>
      <c r="D11" s="15" t="s">
        <v>191</v>
      </c>
      <c r="E11" s="16">
        <v>47000</v>
      </c>
      <c r="F11" s="15" t="s">
        <v>69</v>
      </c>
      <c r="G11" s="8"/>
      <c r="H11" s="8"/>
      <c r="I11" s="15" t="s">
        <v>183</v>
      </c>
      <c r="J11" s="8" t="str">
        <f>_xlfn.XLOOKUP(Sheet3!I11,Sheet3!D2:D20,Sheet3!A2:A20,FALSE)</f>
        <v>Niharika</v>
      </c>
      <c r="K11" s="8">
        <f>_xlfn.XLOOKUP(I11,D2:D20,B2:B20,FALSE)</f>
        <v>23</v>
      </c>
      <c r="L11" s="8" t="str">
        <f>_xlfn.XLOOKUP(I11,D1:D19,C1:C19,FALSE)</f>
        <v>F</v>
      </c>
      <c r="M11" s="8">
        <f>_xlfn.XLOOKUP(I11,D1:D19,E1:E19,FALSE)</f>
        <v>25000</v>
      </c>
      <c r="N11" s="8" t="str">
        <f>_xlfn.XLOOKUP(I11,D1:D19,F1:F19,FALSE)</f>
        <v>Admin</v>
      </c>
    </row>
    <row r="12" spans="1:14" ht="15.75" thickBot="1" x14ac:dyDescent="0.3">
      <c r="A12" s="15" t="s">
        <v>192</v>
      </c>
      <c r="B12" s="16">
        <v>27</v>
      </c>
      <c r="C12" s="15" t="s">
        <v>167</v>
      </c>
      <c r="D12" s="15" t="s">
        <v>193</v>
      </c>
      <c r="E12" s="16">
        <v>53000</v>
      </c>
      <c r="F12" s="15" t="s">
        <v>54</v>
      </c>
      <c r="G12" s="8"/>
      <c r="H12" s="8"/>
      <c r="I12" s="8"/>
      <c r="J12" s="8"/>
      <c r="K12" s="8"/>
      <c r="L12" s="8"/>
      <c r="M12" s="8"/>
      <c r="N12" s="8"/>
    </row>
    <row r="13" spans="1:14" ht="15.75" thickBot="1" x14ac:dyDescent="0.3">
      <c r="A13" s="15" t="s">
        <v>194</v>
      </c>
      <c r="B13" s="16">
        <v>26</v>
      </c>
      <c r="C13" s="15" t="s">
        <v>167</v>
      </c>
      <c r="D13" s="15" t="s">
        <v>195</v>
      </c>
      <c r="E13" s="16">
        <v>37500</v>
      </c>
      <c r="F13" s="15" t="s">
        <v>196</v>
      </c>
      <c r="G13" s="8"/>
      <c r="H13" s="8"/>
      <c r="I13" s="8"/>
      <c r="J13" s="8"/>
      <c r="K13" s="8"/>
      <c r="L13" s="8"/>
      <c r="M13" s="8"/>
      <c r="N13" s="8"/>
    </row>
    <row r="14" spans="1:14" ht="15.75" thickBot="1" x14ac:dyDescent="0.3">
      <c r="A14" s="15" t="s">
        <v>197</v>
      </c>
      <c r="B14" s="16">
        <v>29</v>
      </c>
      <c r="C14" s="15" t="s">
        <v>176</v>
      </c>
      <c r="D14" s="15" t="s">
        <v>198</v>
      </c>
      <c r="E14" s="16">
        <v>40000</v>
      </c>
      <c r="F14" s="15" t="s">
        <v>196</v>
      </c>
      <c r="G14" s="8"/>
      <c r="H14" s="8"/>
      <c r="I14" s="8"/>
      <c r="J14" s="8"/>
      <c r="K14" s="8"/>
      <c r="L14" s="8"/>
      <c r="M14" s="8"/>
      <c r="N14" s="8"/>
    </row>
    <row r="15" spans="1:14" ht="15.75" thickBot="1" x14ac:dyDescent="0.3">
      <c r="A15" s="15" t="s">
        <v>199</v>
      </c>
      <c r="B15" s="16">
        <v>27</v>
      </c>
      <c r="C15" s="15" t="s">
        <v>176</v>
      </c>
      <c r="D15" s="15" t="s">
        <v>189</v>
      </c>
      <c r="E15" s="16">
        <v>42500</v>
      </c>
      <c r="F15" s="15" t="s">
        <v>69</v>
      </c>
      <c r="G15" s="8"/>
      <c r="H15" s="8"/>
      <c r="I15" s="8"/>
      <c r="J15" s="8"/>
      <c r="K15" s="8"/>
      <c r="L15" s="8"/>
      <c r="M15" s="8"/>
      <c r="N15" s="8"/>
    </row>
    <row r="16" spans="1:14" ht="15.75" thickBot="1" x14ac:dyDescent="0.3">
      <c r="A16" s="15" t="s">
        <v>200</v>
      </c>
      <c r="B16" s="16">
        <v>28</v>
      </c>
      <c r="C16" s="15" t="s">
        <v>167</v>
      </c>
      <c r="D16" s="15" t="s">
        <v>201</v>
      </c>
      <c r="E16" s="16">
        <v>34500</v>
      </c>
      <c r="F16" s="15" t="s">
        <v>196</v>
      </c>
      <c r="G16" s="8"/>
      <c r="H16" s="8"/>
      <c r="I16" s="8"/>
      <c r="J16" s="8"/>
      <c r="K16" s="8"/>
      <c r="L16" s="8"/>
      <c r="M16" s="8"/>
      <c r="N16" s="8"/>
    </row>
    <row r="17" spans="1:14" ht="15.75" thickBot="1" x14ac:dyDescent="0.3">
      <c r="A17" s="15" t="s">
        <v>202</v>
      </c>
      <c r="B17" s="16">
        <v>25</v>
      </c>
      <c r="C17" s="15" t="s">
        <v>167</v>
      </c>
      <c r="D17" s="15" t="s">
        <v>172</v>
      </c>
      <c r="E17" s="16">
        <v>41500</v>
      </c>
      <c r="F17" s="15" t="s">
        <v>196</v>
      </c>
      <c r="G17" s="8"/>
      <c r="H17" s="8"/>
      <c r="I17" s="8"/>
      <c r="J17" s="8"/>
      <c r="K17" s="8"/>
      <c r="L17" s="8"/>
      <c r="M17" s="8"/>
      <c r="N17" s="8"/>
    </row>
    <row r="18" spans="1:14" ht="15.75" thickBot="1" x14ac:dyDescent="0.3">
      <c r="A18" s="15" t="s">
        <v>203</v>
      </c>
      <c r="B18" s="16">
        <v>26</v>
      </c>
      <c r="C18" s="15" t="s">
        <v>176</v>
      </c>
      <c r="D18" s="15" t="s">
        <v>204</v>
      </c>
      <c r="E18" s="16">
        <v>52500</v>
      </c>
      <c r="F18" s="15" t="s">
        <v>54</v>
      </c>
      <c r="G18" s="8"/>
      <c r="H18" s="8"/>
      <c r="I18" s="8"/>
      <c r="J18" s="8"/>
      <c r="K18" s="8"/>
      <c r="L18" s="8"/>
      <c r="M18" s="8"/>
      <c r="N18" s="8"/>
    </row>
    <row r="19" spans="1:14" ht="15.75" thickBot="1" x14ac:dyDescent="0.3">
      <c r="A19" s="15" t="s">
        <v>205</v>
      </c>
      <c r="B19" s="16">
        <v>28</v>
      </c>
      <c r="C19" s="15" t="s">
        <v>167</v>
      </c>
      <c r="D19" s="15" t="s">
        <v>206</v>
      </c>
      <c r="E19" s="16">
        <v>50000</v>
      </c>
      <c r="F19" s="15" t="s">
        <v>69</v>
      </c>
      <c r="G19" s="8"/>
      <c r="H19" s="8"/>
      <c r="I19" s="8"/>
      <c r="J19" s="8"/>
      <c r="K19" s="8"/>
      <c r="L19" s="8"/>
      <c r="M19" s="8"/>
      <c r="N19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7069C-E583-4E1C-BD17-29D8B2FD3985}">
  <dimension ref="A1:K21"/>
  <sheetViews>
    <sheetView workbookViewId="0">
      <selection activeCell="C22" sqref="C22"/>
    </sheetView>
  </sheetViews>
  <sheetFormatPr defaultRowHeight="15" x14ac:dyDescent="0.25"/>
  <cols>
    <col min="1" max="1" width="16" customWidth="1"/>
    <col min="2" max="2" width="15.28515625" customWidth="1"/>
  </cols>
  <sheetData>
    <row r="1" spans="1:11" ht="15.75" thickBot="1" x14ac:dyDescent="0.3">
      <c r="A1" s="8" t="s">
        <v>122</v>
      </c>
      <c r="B1" s="8" t="s">
        <v>123</v>
      </c>
      <c r="C1" s="8" t="s">
        <v>124</v>
      </c>
      <c r="D1" s="8" t="s">
        <v>125</v>
      </c>
      <c r="E1" s="8" t="s">
        <v>126</v>
      </c>
      <c r="F1" s="8" t="s">
        <v>127</v>
      </c>
      <c r="G1" s="8" t="s">
        <v>128</v>
      </c>
      <c r="H1" s="8" t="s">
        <v>129</v>
      </c>
      <c r="I1" s="8" t="s">
        <v>130</v>
      </c>
      <c r="J1" s="8" t="s">
        <v>131</v>
      </c>
      <c r="K1" s="8" t="s">
        <v>132</v>
      </c>
    </row>
    <row r="2" spans="1:11" ht="15.75" thickBot="1" x14ac:dyDescent="0.3">
      <c r="A2" s="8" t="s">
        <v>133</v>
      </c>
      <c r="B2" s="8" t="s">
        <v>134</v>
      </c>
      <c r="C2" s="8" t="s">
        <v>135</v>
      </c>
      <c r="D2" s="8" t="s">
        <v>136</v>
      </c>
      <c r="E2" s="8" t="s">
        <v>137</v>
      </c>
      <c r="F2" s="8" t="s">
        <v>138</v>
      </c>
      <c r="G2" s="8" t="s">
        <v>139</v>
      </c>
      <c r="H2" s="8" t="s">
        <v>140</v>
      </c>
      <c r="I2" s="8" t="s">
        <v>141</v>
      </c>
      <c r="J2" s="8" t="s">
        <v>142</v>
      </c>
      <c r="K2" s="8" t="s">
        <v>143</v>
      </c>
    </row>
    <row r="3" spans="1:11" ht="15.75" thickBot="1" x14ac:dyDescent="0.3">
      <c r="A3" s="8" t="s">
        <v>45</v>
      </c>
      <c r="B3" s="8" t="s">
        <v>54</v>
      </c>
      <c r="C3" s="8" t="s">
        <v>59</v>
      </c>
      <c r="D3" s="8" t="s">
        <v>69</v>
      </c>
      <c r="E3" s="8" t="s">
        <v>63</v>
      </c>
      <c r="F3" s="8" t="s">
        <v>54</v>
      </c>
      <c r="G3" s="8" t="s">
        <v>69</v>
      </c>
      <c r="H3" s="8" t="s">
        <v>59</v>
      </c>
      <c r="I3" s="8" t="s">
        <v>63</v>
      </c>
      <c r="J3" s="8" t="s">
        <v>54</v>
      </c>
      <c r="K3" s="8" t="s">
        <v>73</v>
      </c>
    </row>
    <row r="4" spans="1:11" ht="21" customHeight="1" thickBot="1" x14ac:dyDescent="0.3">
      <c r="A4" s="8" t="s">
        <v>49</v>
      </c>
      <c r="B4" s="8" t="s">
        <v>56</v>
      </c>
      <c r="C4" s="8" t="s">
        <v>61</v>
      </c>
      <c r="D4" s="8" t="s">
        <v>71</v>
      </c>
      <c r="E4" s="8" t="s">
        <v>56</v>
      </c>
      <c r="F4" s="8" t="s">
        <v>67</v>
      </c>
      <c r="G4" s="8" t="s">
        <v>71</v>
      </c>
      <c r="H4" s="8" t="s">
        <v>93</v>
      </c>
      <c r="I4" s="8" t="s">
        <v>61</v>
      </c>
      <c r="J4" s="8" t="s">
        <v>56</v>
      </c>
      <c r="K4" s="8" t="s">
        <v>144</v>
      </c>
    </row>
    <row r="5" spans="1:11" ht="15.75" thickBot="1" x14ac:dyDescent="0.3">
      <c r="A5" s="8" t="s">
        <v>47</v>
      </c>
      <c r="B5" s="7">
        <v>45000</v>
      </c>
      <c r="C5" s="7">
        <v>52000</v>
      </c>
      <c r="D5" s="7">
        <v>48000</v>
      </c>
      <c r="E5" s="7">
        <v>60000</v>
      </c>
      <c r="F5" s="7">
        <v>55000</v>
      </c>
      <c r="G5" s="7">
        <v>47000</v>
      </c>
      <c r="H5" s="7">
        <v>50000</v>
      </c>
      <c r="I5" s="7">
        <v>58000</v>
      </c>
      <c r="J5" s="7">
        <v>62000</v>
      </c>
      <c r="K5" s="7">
        <v>51000</v>
      </c>
    </row>
    <row r="6" spans="1:11" ht="15.75" thickBot="1" x14ac:dyDescent="0.3">
      <c r="A6" s="8" t="s">
        <v>145</v>
      </c>
      <c r="B6" s="7">
        <v>2</v>
      </c>
      <c r="C6" s="7">
        <v>4</v>
      </c>
      <c r="D6" s="7">
        <v>3</v>
      </c>
      <c r="E6" s="7">
        <v>6</v>
      </c>
      <c r="F6" s="7">
        <v>5</v>
      </c>
      <c r="G6" s="7">
        <v>3</v>
      </c>
      <c r="H6" s="7">
        <v>4</v>
      </c>
      <c r="I6" s="7">
        <v>7</v>
      </c>
      <c r="J6" s="7">
        <v>8</v>
      </c>
      <c r="K6" s="7">
        <v>4</v>
      </c>
    </row>
    <row r="7" spans="1:11" ht="15.75" thickBot="1" x14ac:dyDescent="0.3">
      <c r="A7" s="8" t="s">
        <v>43</v>
      </c>
      <c r="B7" s="7">
        <v>25</v>
      </c>
      <c r="C7" s="7">
        <v>29</v>
      </c>
      <c r="D7" s="7">
        <v>27</v>
      </c>
      <c r="E7" s="7">
        <v>32</v>
      </c>
      <c r="F7" s="7">
        <v>30</v>
      </c>
      <c r="G7" s="7">
        <v>26</v>
      </c>
      <c r="H7" s="7">
        <v>28</v>
      </c>
      <c r="I7" s="7">
        <v>35</v>
      </c>
      <c r="J7" s="7">
        <v>36</v>
      </c>
      <c r="K7" s="7">
        <v>29</v>
      </c>
    </row>
    <row r="10" spans="1:11" ht="15.75" thickBot="1" x14ac:dyDescent="0.3">
      <c r="C10" t="str">
        <f>HLOOKUP(G1,A1:K7,4,FALSE)</f>
        <v>Pune</v>
      </c>
    </row>
    <row r="11" spans="1:11" ht="15.75" thickBot="1" x14ac:dyDescent="0.3">
      <c r="A11" s="8" t="s">
        <v>146</v>
      </c>
      <c r="B11" s="12" t="s">
        <v>147</v>
      </c>
    </row>
    <row r="12" spans="1:11" ht="27" thickBot="1" x14ac:dyDescent="0.3">
      <c r="A12" s="8" t="s">
        <v>148</v>
      </c>
      <c r="B12" s="8" t="s">
        <v>126</v>
      </c>
      <c r="C12" t="str">
        <f>HLOOKUP(B12,A1:K7,2,FALSE)</f>
        <v>Priya</v>
      </c>
    </row>
    <row r="13" spans="1:11" ht="15.75" thickBot="1" x14ac:dyDescent="0.3">
      <c r="A13" s="8" t="s">
        <v>149</v>
      </c>
      <c r="B13" s="8" t="s">
        <v>129</v>
      </c>
      <c r="C13" t="str">
        <f>HLOOKUP(B13,A1:K7,3,FALSE)</f>
        <v>HR</v>
      </c>
    </row>
    <row r="14" spans="1:11" ht="15.75" thickBot="1" x14ac:dyDescent="0.3">
      <c r="A14" s="8" t="s">
        <v>150</v>
      </c>
      <c r="B14" s="8" t="s">
        <v>125</v>
      </c>
      <c r="C14" t="str">
        <f>HLOOKUP(B14,A1:K7,4,FALSE)</f>
        <v>Pune</v>
      </c>
    </row>
    <row r="15" spans="1:11" ht="15.75" thickBot="1" x14ac:dyDescent="0.3">
      <c r="A15" s="8" t="s">
        <v>151</v>
      </c>
      <c r="B15" s="8" t="s">
        <v>128</v>
      </c>
      <c r="C15">
        <f>HLOOKUP(B15,A1:K7,5,FALSE)</f>
        <v>47000</v>
      </c>
    </row>
    <row r="16" spans="1:11" ht="15.75" thickBot="1" x14ac:dyDescent="0.3">
      <c r="A16" s="8" t="s">
        <v>152</v>
      </c>
      <c r="B16" s="8" t="s">
        <v>130</v>
      </c>
      <c r="C16">
        <f>HLOOKUP(B16,A1:K7,6,FALSE)</f>
        <v>7</v>
      </c>
    </row>
    <row r="17" spans="1:3" ht="15.75" thickBot="1" x14ac:dyDescent="0.3">
      <c r="A17" s="8" t="s">
        <v>153</v>
      </c>
      <c r="B17" s="8" t="s">
        <v>124</v>
      </c>
      <c r="C17">
        <f>HLOOKUP(B17,A1:K7,7,FALSE)</f>
        <v>29</v>
      </c>
    </row>
    <row r="18" spans="1:3" ht="15.75" thickBot="1" x14ac:dyDescent="0.3">
      <c r="A18" s="8" t="s">
        <v>151</v>
      </c>
      <c r="B18" s="8" t="s">
        <v>131</v>
      </c>
      <c r="C18">
        <f>HLOOKUP(B18,A1:K7,5,FALSE)</f>
        <v>62000</v>
      </c>
    </row>
    <row r="19" spans="1:3" ht="27" thickBot="1" x14ac:dyDescent="0.3">
      <c r="A19" s="8" t="s">
        <v>148</v>
      </c>
      <c r="B19" s="8" t="s">
        <v>132</v>
      </c>
      <c r="C19" t="str">
        <f>HLOOKUP(B19,A1:K7,2,FALSE)</f>
        <v>Pooja</v>
      </c>
    </row>
    <row r="20" spans="1:3" ht="15.75" thickBot="1" x14ac:dyDescent="0.3">
      <c r="A20" s="8" t="s">
        <v>150</v>
      </c>
      <c r="B20" s="8" t="s">
        <v>127</v>
      </c>
      <c r="C20" t="str">
        <f>HLOOKUP(B20,A1:K7,4,FALSE)</f>
        <v>Bangalore</v>
      </c>
    </row>
    <row r="21" spans="1:3" ht="15.75" thickBot="1" x14ac:dyDescent="0.3">
      <c r="A21" s="8" t="s">
        <v>149</v>
      </c>
      <c r="B21" s="8" t="s">
        <v>123</v>
      </c>
      <c r="C21" t="str">
        <f>HLOOKUP(B21,A1:K7,3,FALSE)</f>
        <v>IT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ankitbhai47@gmail.com</dc:creator>
  <cp:lastModifiedBy>ankitbhai47@gmail.com</cp:lastModifiedBy>
  <dcterms:created xsi:type="dcterms:W3CDTF">2026-09-05T11:05:46Z</dcterms:created>
  <dcterms:modified xsi:type="dcterms:W3CDTF">2026-09-05T14:13:45Z</dcterms:modified>
</cp:coreProperties>
</file>