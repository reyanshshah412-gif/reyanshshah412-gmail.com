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yansh\"/>
    </mc:Choice>
  </mc:AlternateContent>
  <xr:revisionPtr revIDLastSave="0" documentId="8_{1F52BE66-362D-411E-81CA-D000EDE9B0B6}" xr6:coauthVersionLast="47" xr6:coauthVersionMax="47" xr10:uidLastSave="{00000000-0000-0000-0000-000000000000}"/>
  <bookViews>
    <workbookView xWindow="-120" yWindow="-120" windowWidth="29040" windowHeight="15720" activeTab="2" xr2:uid="{4524FB0C-2A2F-4938-8C14-457A4246C83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G23" i="3" l="1"/>
  <c r="AH22" i="3"/>
  <c r="AJ12" i="3"/>
  <c r="AJ13" i="3"/>
  <c r="AJ14" i="3"/>
  <c r="AJ15" i="3"/>
  <c r="AJ16" i="3"/>
  <c r="AJ17" i="3"/>
  <c r="AJ18" i="3"/>
  <c r="AJ11" i="3"/>
  <c r="AI12" i="3"/>
  <c r="AI13" i="3"/>
  <c r="AI14" i="3"/>
  <c r="AI15" i="3"/>
  <c r="AI16" i="3"/>
  <c r="AI17" i="3"/>
  <c r="AI18" i="3"/>
  <c r="AI11" i="3"/>
  <c r="AH12" i="3"/>
  <c r="AH13" i="3"/>
  <c r="AH14" i="3"/>
  <c r="AH15" i="3"/>
  <c r="AH16" i="3"/>
  <c r="AH17" i="3"/>
  <c r="AH18" i="3"/>
  <c r="AH11" i="3"/>
  <c r="AG3" i="3"/>
  <c r="AG4" i="3" s="1"/>
  <c r="AG2" i="3"/>
  <c r="X25" i="3"/>
  <c r="AC7" i="3"/>
  <c r="AF1" i="3"/>
  <c r="AC4" i="3"/>
  <c r="AC3" i="3"/>
  <c r="AD2" i="3"/>
  <c r="AB2" i="3"/>
  <c r="X21" i="3"/>
  <c r="X20" i="3"/>
  <c r="AA2" i="3"/>
  <c r="Z3" i="3"/>
  <c r="Z4" i="3"/>
  <c r="Z5" i="3"/>
  <c r="Z2" i="3"/>
  <c r="L105" i="3"/>
  <c r="Y3" i="3"/>
  <c r="Y4" i="3"/>
  <c r="Y5" i="3"/>
  <c r="Y2" i="3"/>
  <c r="U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2" i="3"/>
  <c r="Q2" i="3" s="1"/>
  <c r="R2" i="3" s="1"/>
  <c r="AB31" i="3"/>
  <c r="AB29" i="3"/>
  <c r="AC26" i="3"/>
  <c r="AB28" i="3"/>
  <c r="AB27" i="3"/>
  <c r="AB26" i="3"/>
  <c r="AD22" i="3"/>
  <c r="AD21" i="3"/>
  <c r="AD23" i="3"/>
  <c r="AD20" i="3"/>
  <c r="AD19" i="3"/>
  <c r="AC20" i="3"/>
  <c r="AC21" i="3"/>
  <c r="AC22" i="3"/>
  <c r="AC23" i="3"/>
  <c r="AC19" i="3"/>
  <c r="J5" i="2"/>
  <c r="I3" i="2"/>
  <c r="K6" i="1"/>
  <c r="J5" i="1"/>
  <c r="J4" i="1"/>
  <c r="J3" i="1"/>
  <c r="T2" i="3" l="1"/>
  <c r="S2" i="3"/>
</calcChain>
</file>

<file path=xl/sharedStrings.xml><?xml version="1.0" encoding="utf-8"?>
<sst xmlns="http://schemas.openxmlformats.org/spreadsheetml/2006/main" count="1160" uniqueCount="413">
  <si>
    <t>Name</t>
  </si>
  <si>
    <t>Gender</t>
  </si>
  <si>
    <t>Department</t>
  </si>
  <si>
    <t>Salary</t>
  </si>
  <si>
    <t>Location</t>
  </si>
  <si>
    <t>Start Date</t>
  </si>
  <si>
    <t>Ab Lehrian</t>
  </si>
  <si>
    <t>Male</t>
  </si>
  <si>
    <t>NULL</t>
  </si>
  <si>
    <t>$82,240.77</t>
  </si>
  <si>
    <t>3 Redmond Way
Bellevue, WA
USA</t>
  </si>
  <si>
    <t>Abbie Tann</t>
  </si>
  <si>
    <t>Female</t>
  </si>
  <si>
    <t>Business Development</t>
  </si>
  <si>
    <t>$1,16,518.12</t>
  </si>
  <si>
    <t>count how many Male in dataset</t>
  </si>
  <si>
    <t>Abe Gayter</t>
  </si>
  <si>
    <t>Training</t>
  </si>
  <si>
    <t>Abigael Basire</t>
  </si>
  <si>
    <t>Engineering</t>
  </si>
  <si>
    <t>$61,624.77</t>
  </si>
  <si>
    <t>8 Parliament Lane - Wellington, NZ</t>
  </si>
  <si>
    <t>Abramo Labbez</t>
  </si>
  <si>
    <t>Research and Development</t>
  </si>
  <si>
    <t>$76,998.38</t>
  </si>
  <si>
    <t>Abran Danielsky</t>
  </si>
  <si>
    <t>$32,716.22</t>
  </si>
  <si>
    <t>1 Infinite Loop, Los Angels, CA, USA</t>
  </si>
  <si>
    <t>Addi Studdeard</t>
  </si>
  <si>
    <t>Product Management</t>
  </si>
  <si>
    <t>$72,502.61</t>
  </si>
  <si>
    <t>Addia Penwright</t>
  </si>
  <si>
    <t>$28,132.33</t>
  </si>
  <si>
    <t>Addy Pimblett</t>
  </si>
  <si>
    <t>$66,461.92</t>
  </si>
  <si>
    <t>Adela Dowsett</t>
  </si>
  <si>
    <t>Support</t>
  </si>
  <si>
    <t>$95,017.10</t>
  </si>
  <si>
    <t>Adelina Cheeseman</t>
  </si>
  <si>
    <t>$45,512.10</t>
  </si>
  <si>
    <t>Adella Hartshorne</t>
  </si>
  <si>
    <t>Human Resources</t>
  </si>
  <si>
    <t>$41,155.71</t>
  </si>
  <si>
    <t>Adey Ryal</t>
  </si>
  <si>
    <t>Legal</t>
  </si>
  <si>
    <t>$32,496.88</t>
  </si>
  <si>
    <t>Adi Seawright</t>
  </si>
  <si>
    <t>Marketing</t>
  </si>
  <si>
    <t>$48,591.73</t>
  </si>
  <si>
    <t>Adolph Hartin</t>
  </si>
  <si>
    <t>$89,960.60</t>
  </si>
  <si>
    <t>Adolph McNalley</t>
  </si>
  <si>
    <t>$85,918.61</t>
  </si>
  <si>
    <t>Adrianne Gave</t>
  </si>
  <si>
    <t>$78,443.78</t>
  </si>
  <si>
    <t>Aeriela Aickin</t>
  </si>
  <si>
    <t>$37,550.51</t>
  </si>
  <si>
    <t>Aeriell Cuell</t>
  </si>
  <si>
    <t>$1,08,285.34</t>
  </si>
  <si>
    <t>Agnes Collicott</t>
  </si>
  <si>
    <t>Sales</t>
  </si>
  <si>
    <t>$83,748.26</t>
  </si>
  <si>
    <t>Aida Bleacher</t>
  </si>
  <si>
    <t>$87,806.25</t>
  </si>
  <si>
    <t>Aile Strathearn</t>
  </si>
  <si>
    <t>$1,14,597.86</t>
  </si>
  <si>
    <t>Aileen McCritchie</t>
  </si>
  <si>
    <t>$80,169.42</t>
  </si>
  <si>
    <t>Aindrea Lenormand</t>
  </si>
  <si>
    <t>$71,180.77</t>
  </si>
  <si>
    <t>Aldrich Glenny</t>
  </si>
  <si>
    <t>$90,884.32</t>
  </si>
  <si>
    <t>Aleksandr Botha</t>
  </si>
  <si>
    <t>$60,264.93</t>
  </si>
  <si>
    <t>Alexandros Rackley</t>
  </si>
  <si>
    <t>$75,733.74</t>
  </si>
  <si>
    <t>Alexine Portail</t>
  </si>
  <si>
    <t>$60,327.47</t>
  </si>
  <si>
    <t>Alexis Gotfrey</t>
  </si>
  <si>
    <t>$1,14,465.93</t>
  </si>
  <si>
    <t>Alford Gerardi</t>
  </si>
  <si>
    <t>$37,128.34</t>
  </si>
  <si>
    <t>Alfred Peplay</t>
  </si>
  <si>
    <t>$60,576.12</t>
  </si>
  <si>
    <t>Ali Roubert</t>
  </si>
  <si>
    <t>$69,457.74</t>
  </si>
  <si>
    <t>Alic Bagg</t>
  </si>
  <si>
    <t>$1,13,747.56</t>
  </si>
  <si>
    <t>Alicea Pudsall</t>
  </si>
  <si>
    <t>Accounting</t>
  </si>
  <si>
    <t>$67,633.85</t>
  </si>
  <si>
    <t>Alida Welman</t>
  </si>
  <si>
    <t>$69,862.38</t>
  </si>
  <si>
    <t>Alikee Jecock</t>
  </si>
  <si>
    <t>$85,003.93</t>
  </si>
  <si>
    <t>Alisha Bloschke</t>
  </si>
  <si>
    <t>$36,476.64</t>
  </si>
  <si>
    <t>Alissa Schoenfisch</t>
  </si>
  <si>
    <t>$32,166.28</t>
  </si>
  <si>
    <t>Allene Gobbet</t>
  </si>
  <si>
    <t>$78,392.92</t>
  </si>
  <si>
    <t>Allyce Hincham</t>
  </si>
  <si>
    <t>$1,01,421.18</t>
  </si>
  <si>
    <t>Aloise MacCathay</t>
  </si>
  <si>
    <t>Aloisia Minto</t>
  </si>
  <si>
    <t>$41,420.28</t>
  </si>
  <si>
    <t>Alta Kaszper</t>
  </si>
  <si>
    <t>$54,974.11</t>
  </si>
  <si>
    <t>Althea Bronger</t>
  </si>
  <si>
    <t>$1,04,335.04</t>
  </si>
  <si>
    <t>Aluin Churly</t>
  </si>
  <si>
    <t>$96,555.53</t>
  </si>
  <si>
    <t>Alvie Keming</t>
  </si>
  <si>
    <t>$37,839.27</t>
  </si>
  <si>
    <t>Alyosha Riquet</t>
  </si>
  <si>
    <t>$89,838.77</t>
  </si>
  <si>
    <t>Alysa Wankling</t>
  </si>
  <si>
    <t>$1,06,462.05</t>
  </si>
  <si>
    <t>Amaleta Baltzar</t>
  </si>
  <si>
    <t>$70,077.56</t>
  </si>
  <si>
    <t>Amandy Jope</t>
  </si>
  <si>
    <t>$99,629.84</t>
  </si>
  <si>
    <t>Ambros Murthwaite</t>
  </si>
  <si>
    <t>$70,607.48</t>
  </si>
  <si>
    <t>Ambrosio Daniely</t>
  </si>
  <si>
    <t>$80,058.91</t>
  </si>
  <si>
    <t>Amii Elms</t>
  </si>
  <si>
    <t>$53,919.50</t>
  </si>
  <si>
    <t>Amitie Mawson</t>
  </si>
  <si>
    <t>$1,16,496.77</t>
  </si>
  <si>
    <t>Anabal Cooke</t>
  </si>
  <si>
    <t>$31,923.48</t>
  </si>
  <si>
    <t>Ancell Moretto</t>
  </si>
  <si>
    <t>$96,923.39</t>
  </si>
  <si>
    <t>Andrea Becker</t>
  </si>
  <si>
    <t>$46,163.82</t>
  </si>
  <si>
    <t>Andrea Penfold</t>
  </si>
  <si>
    <t>$70,227.90</t>
  </si>
  <si>
    <t>Andria Kimpton</t>
  </si>
  <si>
    <t>$69,117.17</t>
  </si>
  <si>
    <t>Angela Bangley</t>
  </si>
  <si>
    <t>$50,813.58</t>
  </si>
  <si>
    <t>Angeline Christophersen</t>
  </si>
  <si>
    <t>$86,942.20</t>
  </si>
  <si>
    <t>Anjanette Ferre</t>
  </si>
  <si>
    <t>$67,957.90</t>
  </si>
  <si>
    <t>Anjela Spancock</t>
  </si>
  <si>
    <t>$98,012.63</t>
  </si>
  <si>
    <t>Anne-corinne Daulby</t>
  </si>
  <si>
    <t>$78,644.38</t>
  </si>
  <si>
    <t>Anni Dinse</t>
  </si>
  <si>
    <t>$1,19,667.65</t>
  </si>
  <si>
    <t>Anni Izzard</t>
  </si>
  <si>
    <t>$1,03,494.94</t>
  </si>
  <si>
    <t>Ansley Gounel</t>
  </si>
  <si>
    <t>$38,438.24</t>
  </si>
  <si>
    <t>Antone Tolmie</t>
  </si>
  <si>
    <t>$1,10,815.53</t>
  </si>
  <si>
    <t>Antonetta Coggeshall</t>
  </si>
  <si>
    <t>$96,753.78</t>
  </si>
  <si>
    <t>Antonino Forsdicke</t>
  </si>
  <si>
    <t>$66,370.31</t>
  </si>
  <si>
    <t>Appolonia Snook</t>
  </si>
  <si>
    <t>Services</t>
  </si>
  <si>
    <t>$93,883.79</t>
  </si>
  <si>
    <t>Archaimbaud Pinchin</t>
  </si>
  <si>
    <t>$40,271.57</t>
  </si>
  <si>
    <t>Archibald Dyzart</t>
  </si>
  <si>
    <t>$63,022.98</t>
  </si>
  <si>
    <t>Archibald Filliskirk</t>
  </si>
  <si>
    <t>$40,404.47</t>
  </si>
  <si>
    <t>Ardella Dyment</t>
  </si>
  <si>
    <t>$70,649.46</t>
  </si>
  <si>
    <t>Aretha Ettridge</t>
  </si>
  <si>
    <t>$33,755.05</t>
  </si>
  <si>
    <t>Arlie Newcombe</t>
  </si>
  <si>
    <t>Arty Duigan</t>
  </si>
  <si>
    <t>$1,08,597.72</t>
  </si>
  <si>
    <t>Ashien Gallen</t>
  </si>
  <si>
    <t>$1,15,076.66</t>
  </si>
  <si>
    <t>show department of Ab Lehrian</t>
  </si>
  <si>
    <t>find out the position of Training department</t>
  </si>
  <si>
    <t>show Location of Ab Lehrian</t>
  </si>
  <si>
    <t>show strat date of Ab Lehrian</t>
  </si>
  <si>
    <t>Customer_ID</t>
  </si>
  <si>
    <t>Customer_Name</t>
  </si>
  <si>
    <t>City</t>
  </si>
  <si>
    <t>Age</t>
  </si>
  <si>
    <t>Product_Category</t>
  </si>
  <si>
    <t>Product</t>
  </si>
  <si>
    <t>Price</t>
  </si>
  <si>
    <t>Quantity</t>
  </si>
  <si>
    <t>Order_Date</t>
  </si>
  <si>
    <t>Payment_Mode</t>
  </si>
  <si>
    <t>Loan_Amount</t>
  </si>
  <si>
    <t>Loan_Tenure</t>
  </si>
  <si>
    <t>Interest_Rate</t>
  </si>
  <si>
    <t>Loan_Status</t>
  </si>
  <si>
    <t>C001</t>
  </si>
  <si>
    <t>Delhi</t>
  </si>
  <si>
    <t>Electronics</t>
  </si>
  <si>
    <t>Laptop</t>
  </si>
  <si>
    <t>UPI</t>
  </si>
  <si>
    <t>Approved</t>
  </si>
  <si>
    <t>C002</t>
  </si>
  <si>
    <t>Priya Verma</t>
  </si>
  <si>
    <t>Mumbai</t>
  </si>
  <si>
    <t>Fashion</t>
  </si>
  <si>
    <t>Dress</t>
  </si>
  <si>
    <t>Credit Card</t>
  </si>
  <si>
    <t>C003</t>
  </si>
  <si>
    <t>Amit Kumar</t>
  </si>
  <si>
    <t>Furniture</t>
  </si>
  <si>
    <t>Chair</t>
  </si>
  <si>
    <t>Net Banking</t>
  </si>
  <si>
    <t>Neha Singh</t>
  </si>
  <si>
    <t>Noida</t>
  </si>
  <si>
    <t>Headphones</t>
  </si>
  <si>
    <t>Rejected</t>
  </si>
  <si>
    <t>C005</t>
  </si>
  <si>
    <t>Rohit Gupta</t>
  </si>
  <si>
    <t>Gurgaon</t>
  </si>
  <si>
    <t>Mobile</t>
  </si>
  <si>
    <t>C006</t>
  </si>
  <si>
    <t>Anjali Mehta</t>
  </si>
  <si>
    <t>Pune</t>
  </si>
  <si>
    <t>Beauty</t>
  </si>
  <si>
    <t>Skincare Kit</t>
  </si>
  <si>
    <t>C007</t>
  </si>
  <si>
    <t>Vikas Yadav</t>
  </si>
  <si>
    <t>Jaipur</t>
  </si>
  <si>
    <t>Grocery</t>
  </si>
  <si>
    <t>Rice Bag</t>
  </si>
  <si>
    <t>Cash</t>
  </si>
  <si>
    <t>C008</t>
  </si>
  <si>
    <t>Pooja Sharma</t>
  </si>
  <si>
    <t>Saree</t>
  </si>
  <si>
    <t>C009</t>
  </si>
  <si>
    <t>Suresh Patel</t>
  </si>
  <si>
    <t>Ahmedabad</t>
  </si>
  <si>
    <t>Tablet</t>
  </si>
  <si>
    <t>C010</t>
  </si>
  <si>
    <t>Kavita Rao</t>
  </si>
  <si>
    <t>Bangalore</t>
  </si>
  <si>
    <t>Home &amp; Kitchen</t>
  </si>
  <si>
    <t>Mixer</t>
  </si>
  <si>
    <t>C011</t>
  </si>
  <si>
    <t>Arjun Malhotra</t>
  </si>
  <si>
    <t>Monitor</t>
  </si>
  <si>
    <t>C012</t>
  </si>
  <si>
    <t>Simran Kaur</t>
  </si>
  <si>
    <t>Chandigarh</t>
  </si>
  <si>
    <t>Shoes</t>
  </si>
  <si>
    <t>C013</t>
  </si>
  <si>
    <t>Manish Jain</t>
  </si>
  <si>
    <t>Table</t>
  </si>
  <si>
    <t>C014</t>
  </si>
  <si>
    <t>Riya Kapoor</t>
  </si>
  <si>
    <t>Perfume</t>
  </si>
  <si>
    <t>C015</t>
  </si>
  <si>
    <t>Deepak Verma</t>
  </si>
  <si>
    <t>Lucknow</t>
  </si>
  <si>
    <t>Refrigerator</t>
  </si>
  <si>
    <t>C016</t>
  </si>
  <si>
    <t>Sneha Iyer</t>
  </si>
  <si>
    <t>Chennai</t>
  </si>
  <si>
    <t>Coffee</t>
  </si>
  <si>
    <t>C017</t>
  </si>
  <si>
    <t>Karan Singh</t>
  </si>
  <si>
    <t>Sofa</t>
  </si>
  <si>
    <t>C018</t>
  </si>
  <si>
    <t>Meena Joshi</t>
  </si>
  <si>
    <t>Handbag</t>
  </si>
  <si>
    <t>C019</t>
  </si>
  <si>
    <t>Rajesh Kumar</t>
  </si>
  <si>
    <t>TV</t>
  </si>
  <si>
    <t>C020</t>
  </si>
  <si>
    <t>Divya Shah</t>
  </si>
  <si>
    <t>Cookware</t>
  </si>
  <si>
    <t>C021</t>
  </si>
  <si>
    <t>Nitin Arora</t>
  </si>
  <si>
    <t>Keyboard</t>
  </si>
  <si>
    <t>C022</t>
  </si>
  <si>
    <t>Ayesha Khan</t>
  </si>
  <si>
    <t>Hyderabad</t>
  </si>
  <si>
    <t>Jeans</t>
  </si>
  <si>
    <t>C023</t>
  </si>
  <si>
    <t>Mohit Agarwal</t>
  </si>
  <si>
    <t>Bed</t>
  </si>
  <si>
    <t>C024</t>
  </si>
  <si>
    <t>Isha Gupta</t>
  </si>
  <si>
    <t>Makeup Kit</t>
  </si>
  <si>
    <t>C025</t>
  </si>
  <si>
    <t>Varun Bansal</t>
  </si>
  <si>
    <t>Smartwatch</t>
  </si>
  <si>
    <t>C026</t>
  </si>
  <si>
    <t>Shweta Nair</t>
  </si>
  <si>
    <t>Kochi</t>
  </si>
  <si>
    <t>Dry Fruits</t>
  </si>
  <si>
    <t>C027</t>
  </si>
  <si>
    <t>Akash Mishra</t>
  </si>
  <si>
    <t>AC</t>
  </si>
  <si>
    <t>C028</t>
  </si>
  <si>
    <t>Tanya Sethi</t>
  </si>
  <si>
    <t>Jacket</t>
  </si>
  <si>
    <t>C029</t>
  </si>
  <si>
    <t>Sanjay Rao</t>
  </si>
  <si>
    <t>Wardrobe</t>
  </si>
  <si>
    <t>C030</t>
  </si>
  <si>
    <t>Nisha Patel</t>
  </si>
  <si>
    <t>Face Cream</t>
  </si>
  <si>
    <t>C031</t>
  </si>
  <si>
    <t>Abhishek Roy</t>
  </si>
  <si>
    <t>Kolkata</t>
  </si>
  <si>
    <t>Printer</t>
  </si>
  <si>
    <t>C032</t>
  </si>
  <si>
    <t>Komal Sharma</t>
  </si>
  <si>
    <t>Top</t>
  </si>
  <si>
    <t>C033</t>
  </si>
  <si>
    <t>Ravi Thakur</t>
  </si>
  <si>
    <t>Oil</t>
  </si>
  <si>
    <t>C034</t>
  </si>
  <si>
    <t>Preeti Gupta</t>
  </si>
  <si>
    <t>Air Fryer</t>
  </si>
  <si>
    <t>C035</t>
  </si>
  <si>
    <t>Ajay Kumar</t>
  </si>
  <si>
    <t>Washing Machine</t>
  </si>
  <si>
    <t>C036</t>
  </si>
  <si>
    <t>Mansi Jain</t>
  </si>
  <si>
    <t>Watch</t>
  </si>
  <si>
    <t>C037</t>
  </si>
  <si>
    <t>Prakash Singh</t>
  </si>
  <si>
    <t>Dining Table</t>
  </si>
  <si>
    <t>C038</t>
  </si>
  <si>
    <t>Ritika Das</t>
  </si>
  <si>
    <t>Lipstick</t>
  </si>
  <si>
    <t>C039</t>
  </si>
  <si>
    <t>Manoj Yadav</t>
  </si>
  <si>
    <t>Camera</t>
  </si>
  <si>
    <t>C040</t>
  </si>
  <si>
    <t>Sakshi Mehta</t>
  </si>
  <si>
    <t>Tea</t>
  </si>
  <si>
    <t>C041</t>
  </si>
  <si>
    <t>Varsha Kapoor</t>
  </si>
  <si>
    <t>Earbuds</t>
  </si>
  <si>
    <t>C042</t>
  </si>
  <si>
    <t>Harish Patel</t>
  </si>
  <si>
    <t>Office Chair</t>
  </si>
  <si>
    <t>C043</t>
  </si>
  <si>
    <t>Neelam Verma</t>
  </si>
  <si>
    <t>Kurti</t>
  </si>
  <si>
    <t>C044</t>
  </si>
  <si>
    <t>Rakesh Sharma</t>
  </si>
  <si>
    <t>C045</t>
  </si>
  <si>
    <t>Pallavi Singh</t>
  </si>
  <si>
    <t>Vacuum Cleaner</t>
  </si>
  <si>
    <t>C046</t>
  </si>
  <si>
    <t>Suraj Kumar</t>
  </si>
  <si>
    <t>Speaker</t>
  </si>
  <si>
    <t>C047</t>
  </si>
  <si>
    <t>Renu Gupta</t>
  </si>
  <si>
    <t>Sandal</t>
  </si>
  <si>
    <t>C048</t>
  </si>
  <si>
    <t>Gaurav Mehra</t>
  </si>
  <si>
    <t>Bookshelf</t>
  </si>
  <si>
    <t>C049</t>
  </si>
  <si>
    <t>Swati Joshi</t>
  </si>
  <si>
    <t>Shampoo</t>
  </si>
  <si>
    <t>C050</t>
  </si>
  <si>
    <t>Ankit Sharma</t>
  </si>
  <si>
    <t>*C004</t>
  </si>
  <si>
    <t>Lower case Name</t>
  </si>
  <si>
    <t>Upper case Name</t>
  </si>
  <si>
    <t xml:space="preserve">Proper case name </t>
  </si>
  <si>
    <t>left</t>
  </si>
  <si>
    <t>right</t>
  </si>
  <si>
    <t>length</t>
  </si>
  <si>
    <t>Rahul   Sharma</t>
  </si>
  <si>
    <t>trim</t>
  </si>
  <si>
    <t>first name</t>
  </si>
  <si>
    <t>last name</t>
  </si>
  <si>
    <t>full name</t>
  </si>
  <si>
    <t>Reyansh</t>
  </si>
  <si>
    <t>Shah</t>
  </si>
  <si>
    <t>Mehaa</t>
  </si>
  <si>
    <t>Rishika</t>
  </si>
  <si>
    <t>Saumil</t>
  </si>
  <si>
    <t>Modh</t>
  </si>
  <si>
    <t>Arora</t>
  </si>
  <si>
    <t>ASHA</t>
  </si>
  <si>
    <t>CITY</t>
  </si>
  <si>
    <t>DELHI</t>
  </si>
  <si>
    <t>PCODE</t>
  </si>
  <si>
    <t>ASHA@GMAIL.COM</t>
  </si>
  <si>
    <t>EMAIL</t>
  </si>
  <si>
    <t>PASSWORD</t>
  </si>
  <si>
    <t>NAME UPPERCASE + 2 START CHAR OF CITY 3+ 3 LAST CHAR FROM PINCODE</t>
  </si>
  <si>
    <t>UPPER(W11)=LEFT(X11,2)=RIGHT(Y11,3)</t>
  </si>
  <si>
    <t>MID FUNCTION</t>
  </si>
  <si>
    <t>abc@Gmail.com</t>
  </si>
  <si>
    <t>gmail</t>
  </si>
  <si>
    <t>Email</t>
  </si>
  <si>
    <t>yahoo</t>
  </si>
  <si>
    <t>XYZ@gmail.com</t>
  </si>
  <si>
    <t>Search</t>
  </si>
  <si>
    <t>Round</t>
  </si>
  <si>
    <t>int</t>
  </si>
  <si>
    <t>mod</t>
  </si>
  <si>
    <t>now</t>
  </si>
  <si>
    <t>month</t>
  </si>
  <si>
    <t>day</t>
  </si>
  <si>
    <t>date of birth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</si>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</sst>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0" fillId="0" borderId="0" xfId="0" applyNumberFormat="1"/>
    <xf numFmtId="14" fontId="3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5" fillId="0" borderId="0" xfId="0" applyFont="1"/>
    <xf numFmtId="0" fontId="2" fillId="0" borderId="4" xfId="0" applyFont="1" applyFill="1" applyBorder="1" applyAlignment="1">
      <alignment wrapText="1"/>
    </xf>
    <xf numFmtId="0" fontId="4" fillId="0" borderId="0" xfId="1"/>
    <xf numFmtId="0" fontId="4" fillId="0" borderId="4" xfId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SHA@GMAIL.COM" TargetMode="External"/><Relationship Id="rId1" Type="http://schemas.openxmlformats.org/officeDocument/2006/relationships/hyperlink" Target="mailto:ASHA@GMAIL.COM" TargetMode="External"/><Relationship Id="rId5" Type="http://schemas.openxmlformats.org/officeDocument/2006/relationships/hyperlink" Target="mailto:XYZ@gmail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13D7-637F-4907-AF87-4BB43D0266AB}">
  <dimension ref="A1:K92"/>
  <sheetViews>
    <sheetView zoomScale="70" zoomScaleNormal="70" workbookViewId="0">
      <selection activeCell="K7" sqref="K7"/>
    </sheetView>
  </sheetViews>
  <sheetFormatPr defaultRowHeight="15" x14ac:dyDescent="0.25"/>
  <cols>
    <col min="1" max="1" width="13.5703125" customWidth="1"/>
    <col min="2" max="2" width="10.5703125" customWidth="1"/>
    <col min="3" max="3" width="16.42578125" customWidth="1"/>
    <col min="5" max="5" width="22" customWidth="1"/>
    <col min="6" max="6" width="18.42578125" customWidth="1"/>
    <col min="9" max="9" width="28.42578125" bestFit="1" customWidth="1"/>
  </cols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/>
      <c r="H1" s="4"/>
      <c r="I1" s="4"/>
    </row>
    <row r="2" spans="1:11" ht="90.75" thickBot="1" x14ac:dyDescent="0.3">
      <c r="A2" s="5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8">
        <v>43894</v>
      </c>
      <c r="G2" s="4"/>
      <c r="H2" s="4"/>
      <c r="I2" s="4"/>
    </row>
    <row r="3" spans="1:11" ht="90.75" thickBot="1" x14ac:dyDescent="0.3">
      <c r="A3" s="5" t="s">
        <v>11</v>
      </c>
      <c r="B3" s="5" t="s">
        <v>12</v>
      </c>
      <c r="C3" s="5" t="s">
        <v>13</v>
      </c>
      <c r="D3" s="6" t="s">
        <v>14</v>
      </c>
      <c r="E3" s="5" t="s">
        <v>10</v>
      </c>
      <c r="F3" s="8">
        <v>43609</v>
      </c>
      <c r="G3" s="4"/>
      <c r="H3" s="4"/>
      <c r="I3" s="9" t="s">
        <v>15</v>
      </c>
      <c r="J3">
        <f>COUNTIF(B1:B92,"Male")</f>
        <v>48</v>
      </c>
    </row>
    <row r="4" spans="1:11" ht="45.75" thickBot="1" x14ac:dyDescent="0.3">
      <c r="A4" s="5" t="s">
        <v>16</v>
      </c>
      <c r="B4" s="5" t="s">
        <v>7</v>
      </c>
      <c r="C4" s="5" t="s">
        <v>17</v>
      </c>
      <c r="D4" s="4"/>
      <c r="E4" s="5" t="s">
        <v>10</v>
      </c>
      <c r="F4" s="8">
        <v>43588</v>
      </c>
      <c r="G4" s="4"/>
      <c r="H4" s="4"/>
      <c r="I4" s="4" t="s">
        <v>180</v>
      </c>
      <c r="J4" t="str">
        <f>_xlfn.XLOOKUP(A2,A1:A92,C1:C92,FALSE)</f>
        <v>NULL</v>
      </c>
    </row>
    <row r="5" spans="1:11" ht="30.75" thickBot="1" x14ac:dyDescent="0.3">
      <c r="A5" s="5" t="s">
        <v>18</v>
      </c>
      <c r="B5" s="5" t="s">
        <v>7</v>
      </c>
      <c r="C5" s="5" t="s">
        <v>19</v>
      </c>
      <c r="D5" s="6" t="s">
        <v>20</v>
      </c>
      <c r="E5" s="5" t="s">
        <v>21</v>
      </c>
      <c r="F5" s="8">
        <v>43696</v>
      </c>
      <c r="G5" s="4"/>
      <c r="H5" s="4"/>
      <c r="I5" s="4"/>
      <c r="J5" t="str">
        <f>VLOOKUP(A2,A1:E92,3,FALSE)</f>
        <v>NULL</v>
      </c>
    </row>
    <row r="6" spans="1:11" ht="90.75" customHeight="1" thickBot="1" x14ac:dyDescent="0.3">
      <c r="A6" s="5" t="s">
        <v>18</v>
      </c>
      <c r="B6" s="5" t="s">
        <v>7</v>
      </c>
      <c r="C6" s="5" t="s">
        <v>19</v>
      </c>
      <c r="D6" s="6" t="s">
        <v>20</v>
      </c>
      <c r="E6" s="5" t="s">
        <v>10</v>
      </c>
      <c r="F6" s="8">
        <v>43972</v>
      </c>
      <c r="G6" s="4"/>
      <c r="H6" s="4"/>
      <c r="I6" s="3" t="s">
        <v>181</v>
      </c>
      <c r="K6">
        <f>MATCH(C4,C1:C92,0)</f>
        <v>4</v>
      </c>
    </row>
    <row r="7" spans="1:11" ht="45.75" thickBot="1" x14ac:dyDescent="0.3">
      <c r="A7" s="5" t="s">
        <v>22</v>
      </c>
      <c r="B7" s="5" t="s">
        <v>12</v>
      </c>
      <c r="C7" s="5" t="s">
        <v>23</v>
      </c>
      <c r="D7" s="6" t="s">
        <v>24</v>
      </c>
      <c r="E7" s="5" t="s">
        <v>10</v>
      </c>
      <c r="F7" s="8">
        <v>43673</v>
      </c>
      <c r="G7" s="4"/>
      <c r="H7" s="4"/>
      <c r="I7" s="4"/>
    </row>
    <row r="8" spans="1:11" ht="60.75" thickBot="1" x14ac:dyDescent="0.3">
      <c r="A8" s="5" t="s">
        <v>25</v>
      </c>
      <c r="B8" s="5" t="s">
        <v>12</v>
      </c>
      <c r="C8" s="5" t="s">
        <v>19</v>
      </c>
      <c r="D8" s="6" t="s">
        <v>26</v>
      </c>
      <c r="E8" s="5" t="s">
        <v>27</v>
      </c>
      <c r="F8" s="8">
        <v>43968</v>
      </c>
      <c r="G8" s="4"/>
      <c r="H8" s="4"/>
      <c r="I8" s="4"/>
    </row>
    <row r="9" spans="1:11" ht="90.75" thickBot="1" x14ac:dyDescent="0.3">
      <c r="A9" s="5" t="s">
        <v>28</v>
      </c>
      <c r="B9" s="5" t="s">
        <v>12</v>
      </c>
      <c r="C9" s="5" t="s">
        <v>29</v>
      </c>
      <c r="D9" s="6" t="s">
        <v>30</v>
      </c>
      <c r="E9" s="5" t="s">
        <v>10</v>
      </c>
      <c r="F9" s="8">
        <v>44023</v>
      </c>
      <c r="G9" s="4"/>
      <c r="H9" s="4"/>
      <c r="I9" s="4"/>
    </row>
    <row r="10" spans="1:11" ht="75.75" thickBot="1" x14ac:dyDescent="0.3">
      <c r="A10" s="5" t="s">
        <v>28</v>
      </c>
      <c r="B10" s="5" t="s">
        <v>12</v>
      </c>
      <c r="C10" s="5" t="s">
        <v>29</v>
      </c>
      <c r="D10" s="6" t="s">
        <v>30</v>
      </c>
      <c r="E10" s="5" t="s">
        <v>21</v>
      </c>
      <c r="F10" s="8">
        <v>44029</v>
      </c>
      <c r="G10" s="4"/>
      <c r="H10" s="4"/>
      <c r="I10" s="4"/>
    </row>
    <row r="11" spans="1:11" ht="75.75" thickBot="1" x14ac:dyDescent="0.3">
      <c r="A11" s="5" t="s">
        <v>31</v>
      </c>
      <c r="B11" s="5" t="s">
        <v>7</v>
      </c>
      <c r="C11" s="5" t="s">
        <v>23</v>
      </c>
      <c r="D11" s="6" t="s">
        <v>32</v>
      </c>
      <c r="E11" s="5" t="s">
        <v>21</v>
      </c>
      <c r="F11" s="8">
        <v>43666</v>
      </c>
      <c r="G11" s="4"/>
      <c r="H11" s="4"/>
      <c r="I11" s="4"/>
    </row>
    <row r="12" spans="1:11" ht="90.75" thickBot="1" x14ac:dyDescent="0.3">
      <c r="A12" s="5" t="s">
        <v>33</v>
      </c>
      <c r="B12" s="5" t="s">
        <v>7</v>
      </c>
      <c r="C12" s="5" t="s">
        <v>29</v>
      </c>
      <c r="D12" s="6" t="s">
        <v>34</v>
      </c>
      <c r="E12" s="5" t="s">
        <v>10</v>
      </c>
      <c r="F12" s="8">
        <v>43922</v>
      </c>
      <c r="G12" s="4"/>
      <c r="H12" s="4"/>
      <c r="I12" s="4"/>
    </row>
    <row r="13" spans="1:11" ht="90.75" thickBot="1" x14ac:dyDescent="0.3">
      <c r="A13" s="5" t="s">
        <v>35</v>
      </c>
      <c r="B13" s="5" t="s">
        <v>7</v>
      </c>
      <c r="C13" s="5" t="s">
        <v>36</v>
      </c>
      <c r="D13" s="6" t="s">
        <v>37</v>
      </c>
      <c r="E13" s="5" t="s">
        <v>10</v>
      </c>
      <c r="F13" s="8">
        <v>43784</v>
      </c>
      <c r="G13" s="4"/>
      <c r="H13" s="4"/>
      <c r="I13" s="4"/>
    </row>
    <row r="14" spans="1:11" ht="60.75" thickBot="1" x14ac:dyDescent="0.3">
      <c r="A14" s="5" t="s">
        <v>38</v>
      </c>
      <c r="B14" s="5" t="s">
        <v>7</v>
      </c>
      <c r="C14" s="5" t="s">
        <v>36</v>
      </c>
      <c r="D14" s="6" t="s">
        <v>39</v>
      </c>
      <c r="E14" s="5" t="s">
        <v>27</v>
      </c>
      <c r="F14" s="8">
        <v>43800</v>
      </c>
      <c r="G14" s="4"/>
      <c r="H14" s="4"/>
      <c r="I14" s="4"/>
    </row>
    <row r="15" spans="1:11" ht="90.75" thickBot="1" x14ac:dyDescent="0.3">
      <c r="A15" s="5" t="s">
        <v>40</v>
      </c>
      <c r="B15" s="5" t="s">
        <v>12</v>
      </c>
      <c r="C15" s="5" t="s">
        <v>41</v>
      </c>
      <c r="D15" s="6" t="s">
        <v>42</v>
      </c>
      <c r="E15" s="5" t="s">
        <v>10</v>
      </c>
      <c r="F15" s="8">
        <v>43526</v>
      </c>
      <c r="G15" s="4"/>
      <c r="H15" s="4"/>
      <c r="I15" s="4"/>
    </row>
    <row r="16" spans="1:11" ht="75.75" thickBot="1" x14ac:dyDescent="0.3">
      <c r="A16" s="5" t="s">
        <v>40</v>
      </c>
      <c r="B16" s="5" t="s">
        <v>12</v>
      </c>
      <c r="C16" s="5" t="s">
        <v>41</v>
      </c>
      <c r="D16" s="6" t="s">
        <v>42</v>
      </c>
      <c r="E16" s="5" t="s">
        <v>21</v>
      </c>
      <c r="F16" s="8">
        <v>43745</v>
      </c>
      <c r="G16" s="4"/>
      <c r="H16" s="4"/>
      <c r="I16" s="4"/>
    </row>
    <row r="17" spans="1:9" ht="90.75" thickBot="1" x14ac:dyDescent="0.3">
      <c r="A17" s="5" t="s">
        <v>43</v>
      </c>
      <c r="B17" s="5" t="s">
        <v>12</v>
      </c>
      <c r="C17" s="5" t="s">
        <v>44</v>
      </c>
      <c r="D17" s="6" t="s">
        <v>45</v>
      </c>
      <c r="E17" s="5" t="s">
        <v>10</v>
      </c>
      <c r="F17" s="8">
        <v>43797</v>
      </c>
      <c r="G17" s="4"/>
      <c r="H17" s="4"/>
      <c r="I17" s="4"/>
    </row>
    <row r="18" spans="1:9" ht="60.75" thickBot="1" x14ac:dyDescent="0.3">
      <c r="A18" s="5" t="s">
        <v>46</v>
      </c>
      <c r="B18" s="5" t="s">
        <v>12</v>
      </c>
      <c r="C18" s="5" t="s">
        <v>47</v>
      </c>
      <c r="D18" s="6" t="s">
        <v>48</v>
      </c>
      <c r="E18" s="5" t="s">
        <v>27</v>
      </c>
      <c r="F18" s="8">
        <v>43475</v>
      </c>
      <c r="G18" s="4"/>
      <c r="H18" s="4"/>
      <c r="I18" s="4"/>
    </row>
    <row r="19" spans="1:9" ht="90.75" thickBot="1" x14ac:dyDescent="0.3">
      <c r="A19" s="5" t="s">
        <v>49</v>
      </c>
      <c r="B19" s="5" t="s">
        <v>7</v>
      </c>
      <c r="C19" s="5" t="s">
        <v>29</v>
      </c>
      <c r="D19" s="6" t="s">
        <v>50</v>
      </c>
      <c r="E19" s="5" t="s">
        <v>10</v>
      </c>
      <c r="F19" s="8">
        <v>43635</v>
      </c>
      <c r="G19" s="4"/>
      <c r="H19" s="4"/>
      <c r="I19" s="4"/>
    </row>
    <row r="20" spans="1:9" ht="75.75" thickBot="1" x14ac:dyDescent="0.3">
      <c r="A20" s="5" t="s">
        <v>51</v>
      </c>
      <c r="B20" s="5" t="s">
        <v>7</v>
      </c>
      <c r="C20" s="5" t="s">
        <v>13</v>
      </c>
      <c r="D20" s="6" t="s">
        <v>52</v>
      </c>
      <c r="E20" s="5" t="s">
        <v>21</v>
      </c>
      <c r="F20" s="8">
        <v>43582</v>
      </c>
      <c r="G20" s="4"/>
      <c r="H20" s="4"/>
      <c r="I20" s="4"/>
    </row>
    <row r="21" spans="1:9" ht="90.75" thickBot="1" x14ac:dyDescent="0.3">
      <c r="A21" s="5" t="s">
        <v>53</v>
      </c>
      <c r="B21" s="5" t="s">
        <v>7</v>
      </c>
      <c r="C21" s="5" t="s">
        <v>19</v>
      </c>
      <c r="D21" s="6" t="s">
        <v>54</v>
      </c>
      <c r="E21" s="5" t="s">
        <v>10</v>
      </c>
      <c r="F21" s="8">
        <v>43491</v>
      </c>
      <c r="G21" s="4"/>
      <c r="H21" s="4"/>
      <c r="I21" s="4"/>
    </row>
    <row r="22" spans="1:9" ht="75.75" thickBot="1" x14ac:dyDescent="0.3">
      <c r="A22" s="5" t="s">
        <v>55</v>
      </c>
      <c r="B22" s="5" t="s">
        <v>7</v>
      </c>
      <c r="C22" s="5" t="s">
        <v>29</v>
      </c>
      <c r="D22" s="6" t="s">
        <v>56</v>
      </c>
      <c r="E22" s="5" t="s">
        <v>21</v>
      </c>
      <c r="F22" s="8">
        <v>43718</v>
      </c>
      <c r="G22" s="4"/>
      <c r="H22" s="4"/>
      <c r="I22" s="4"/>
    </row>
    <row r="23" spans="1:9" ht="75.75" thickBot="1" x14ac:dyDescent="0.3">
      <c r="A23" s="5" t="s">
        <v>57</v>
      </c>
      <c r="B23" s="5" t="s">
        <v>7</v>
      </c>
      <c r="C23" s="5" t="s">
        <v>44</v>
      </c>
      <c r="D23" s="6" t="s">
        <v>58</v>
      </c>
      <c r="E23" s="5" t="s">
        <v>21</v>
      </c>
      <c r="F23" s="8">
        <v>43696</v>
      </c>
      <c r="G23" s="4"/>
      <c r="H23" s="4"/>
      <c r="I23" s="4"/>
    </row>
    <row r="24" spans="1:9" ht="75.75" thickBot="1" x14ac:dyDescent="0.3">
      <c r="A24" s="5" t="s">
        <v>59</v>
      </c>
      <c r="B24" s="5" t="s">
        <v>12</v>
      </c>
      <c r="C24" s="5" t="s">
        <v>60</v>
      </c>
      <c r="D24" s="6" t="s">
        <v>61</v>
      </c>
      <c r="E24" s="5" t="s">
        <v>21</v>
      </c>
      <c r="F24" s="8">
        <v>43851</v>
      </c>
      <c r="G24" s="4"/>
      <c r="H24" s="4"/>
      <c r="I24" s="4"/>
    </row>
    <row r="25" spans="1:9" ht="75.75" thickBot="1" x14ac:dyDescent="0.3">
      <c r="A25" s="5" t="s">
        <v>62</v>
      </c>
      <c r="B25" s="5" t="s">
        <v>7</v>
      </c>
      <c r="C25" s="5" t="s">
        <v>29</v>
      </c>
      <c r="D25" s="6" t="s">
        <v>63</v>
      </c>
      <c r="E25" s="5" t="s">
        <v>21</v>
      </c>
      <c r="F25" s="8">
        <v>43678</v>
      </c>
      <c r="G25" s="4"/>
      <c r="H25" s="4"/>
      <c r="I25" s="4"/>
    </row>
    <row r="26" spans="1:9" ht="90.75" thickBot="1" x14ac:dyDescent="0.3">
      <c r="A26" s="5" t="s">
        <v>64</v>
      </c>
      <c r="B26" s="5" t="s">
        <v>12</v>
      </c>
      <c r="C26" s="5" t="s">
        <v>47</v>
      </c>
      <c r="D26" s="6" t="s">
        <v>65</v>
      </c>
      <c r="E26" s="5" t="s">
        <v>10</v>
      </c>
      <c r="F26" s="8">
        <v>43521</v>
      </c>
      <c r="G26" s="4"/>
      <c r="H26" s="4"/>
      <c r="I26" s="4"/>
    </row>
    <row r="27" spans="1:9" ht="90.75" thickBot="1" x14ac:dyDescent="0.3">
      <c r="A27" s="5" t="s">
        <v>66</v>
      </c>
      <c r="B27" s="5" t="s">
        <v>7</v>
      </c>
      <c r="C27" s="5" t="s">
        <v>13</v>
      </c>
      <c r="D27" s="6" t="s">
        <v>67</v>
      </c>
      <c r="E27" s="5" t="s">
        <v>10</v>
      </c>
      <c r="F27" s="8">
        <v>43882</v>
      </c>
      <c r="G27" s="4"/>
      <c r="H27" s="4"/>
      <c r="I27" s="4"/>
    </row>
    <row r="28" spans="1:9" ht="75.75" thickBot="1" x14ac:dyDescent="0.3">
      <c r="A28" s="5" t="s">
        <v>68</v>
      </c>
      <c r="B28" s="5" t="s">
        <v>12</v>
      </c>
      <c r="C28" s="5" t="s">
        <v>41</v>
      </c>
      <c r="D28" s="6" t="s">
        <v>69</v>
      </c>
      <c r="E28" s="5" t="s">
        <v>21</v>
      </c>
      <c r="F28" s="8">
        <v>43884</v>
      </c>
      <c r="G28" s="4"/>
      <c r="H28" s="4"/>
      <c r="I28" s="4"/>
    </row>
    <row r="29" spans="1:9" ht="60.75" thickBot="1" x14ac:dyDescent="0.3">
      <c r="A29" s="5" t="s">
        <v>70</v>
      </c>
      <c r="B29" s="5" t="s">
        <v>7</v>
      </c>
      <c r="C29" s="5" t="s">
        <v>13</v>
      </c>
      <c r="D29" s="6" t="s">
        <v>71</v>
      </c>
      <c r="E29" s="5" t="s">
        <v>27</v>
      </c>
      <c r="F29" s="8">
        <v>43868</v>
      </c>
      <c r="G29" s="4"/>
      <c r="H29" s="4"/>
      <c r="I29" s="4"/>
    </row>
    <row r="30" spans="1:9" ht="75.75" thickBot="1" x14ac:dyDescent="0.3">
      <c r="A30" s="5" t="s">
        <v>70</v>
      </c>
      <c r="B30" s="5" t="s">
        <v>7</v>
      </c>
      <c r="C30" s="5" t="s">
        <v>13</v>
      </c>
      <c r="D30" s="6" t="s">
        <v>71</v>
      </c>
      <c r="E30" s="5" t="s">
        <v>21</v>
      </c>
      <c r="F30" s="8">
        <v>44022</v>
      </c>
      <c r="G30" s="4"/>
      <c r="H30" s="4"/>
      <c r="I30" s="4"/>
    </row>
    <row r="31" spans="1:9" ht="75.75" thickBot="1" x14ac:dyDescent="0.3">
      <c r="A31" s="5" t="s">
        <v>72</v>
      </c>
      <c r="B31" s="5" t="s">
        <v>7</v>
      </c>
      <c r="C31" s="5" t="s">
        <v>60</v>
      </c>
      <c r="D31" s="6" t="s">
        <v>73</v>
      </c>
      <c r="E31" s="5" t="s">
        <v>21</v>
      </c>
      <c r="F31" s="8">
        <v>43543</v>
      </c>
      <c r="G31" s="4"/>
      <c r="H31" s="4"/>
      <c r="I31" s="4"/>
    </row>
    <row r="32" spans="1:9" ht="60.75" thickBot="1" x14ac:dyDescent="0.3">
      <c r="A32" s="5" t="s">
        <v>74</v>
      </c>
      <c r="B32" s="5" t="s">
        <v>12</v>
      </c>
      <c r="C32" s="5" t="s">
        <v>44</v>
      </c>
      <c r="D32" s="6" t="s">
        <v>75</v>
      </c>
      <c r="E32" s="5" t="s">
        <v>27</v>
      </c>
      <c r="F32" s="8">
        <v>43648</v>
      </c>
      <c r="G32" s="4"/>
      <c r="H32" s="4"/>
      <c r="I32" s="4"/>
    </row>
    <row r="33" spans="1:9" ht="90.75" thickBot="1" x14ac:dyDescent="0.3">
      <c r="A33" s="5" t="s">
        <v>76</v>
      </c>
      <c r="B33" s="5" t="s">
        <v>12</v>
      </c>
      <c r="C33" s="5" t="s">
        <v>60</v>
      </c>
      <c r="D33" s="6" t="s">
        <v>77</v>
      </c>
      <c r="E33" s="5" t="s">
        <v>10</v>
      </c>
      <c r="F33" s="8">
        <v>43573</v>
      </c>
      <c r="G33" s="4"/>
      <c r="H33" s="4"/>
      <c r="I33" s="4"/>
    </row>
    <row r="34" spans="1:9" ht="90.75" thickBot="1" x14ac:dyDescent="0.3">
      <c r="A34" s="5" t="s">
        <v>78</v>
      </c>
      <c r="B34" s="5" t="s">
        <v>7</v>
      </c>
      <c r="C34" s="5" t="s">
        <v>19</v>
      </c>
      <c r="D34" s="6" t="s">
        <v>79</v>
      </c>
      <c r="E34" s="5" t="s">
        <v>10</v>
      </c>
      <c r="F34" s="8">
        <v>43651</v>
      </c>
      <c r="G34" s="4"/>
      <c r="H34" s="4"/>
      <c r="I34" s="4"/>
    </row>
    <row r="35" spans="1:9" ht="90.75" thickBot="1" x14ac:dyDescent="0.3">
      <c r="A35" s="5" t="s">
        <v>80</v>
      </c>
      <c r="B35" s="5" t="s">
        <v>12</v>
      </c>
      <c r="C35" s="5" t="s">
        <v>19</v>
      </c>
      <c r="D35" s="6" t="s">
        <v>81</v>
      </c>
      <c r="E35" s="5" t="s">
        <v>10</v>
      </c>
      <c r="F35" s="8">
        <v>43540</v>
      </c>
      <c r="G35" s="4"/>
      <c r="H35" s="4"/>
      <c r="I35" s="4"/>
    </row>
    <row r="36" spans="1:9" ht="60.75" thickBot="1" x14ac:dyDescent="0.3">
      <c r="A36" s="5" t="s">
        <v>82</v>
      </c>
      <c r="B36" s="5" t="s">
        <v>12</v>
      </c>
      <c r="C36" s="5" t="s">
        <v>41</v>
      </c>
      <c r="D36" s="6" t="s">
        <v>83</v>
      </c>
      <c r="E36" s="5" t="s">
        <v>27</v>
      </c>
      <c r="F36" s="8">
        <v>43819</v>
      </c>
      <c r="G36" s="4"/>
      <c r="H36" s="4"/>
      <c r="I36" s="4"/>
    </row>
    <row r="37" spans="1:9" ht="90.75" thickBot="1" x14ac:dyDescent="0.3">
      <c r="A37" s="5" t="s">
        <v>82</v>
      </c>
      <c r="B37" s="5" t="s">
        <v>12</v>
      </c>
      <c r="C37" s="5" t="s">
        <v>41</v>
      </c>
      <c r="D37" s="6" t="s">
        <v>83</v>
      </c>
      <c r="E37" s="5" t="s">
        <v>10</v>
      </c>
      <c r="F37" s="8">
        <v>43958</v>
      </c>
      <c r="G37" s="4"/>
      <c r="H37" s="4"/>
      <c r="I37" s="4"/>
    </row>
    <row r="38" spans="1:9" ht="75.75" thickBot="1" x14ac:dyDescent="0.3">
      <c r="A38" s="10" t="s">
        <v>84</v>
      </c>
      <c r="B38" s="11"/>
      <c r="C38" s="5" t="s">
        <v>19</v>
      </c>
      <c r="D38" s="6" t="s">
        <v>85</v>
      </c>
      <c r="E38" s="5" t="s">
        <v>21</v>
      </c>
      <c r="F38" s="8">
        <v>43939</v>
      </c>
      <c r="G38" s="4"/>
      <c r="H38" s="4"/>
      <c r="I38" s="4"/>
    </row>
    <row r="39" spans="1:9" ht="60.75" thickBot="1" x14ac:dyDescent="0.3">
      <c r="A39" s="5" t="s">
        <v>86</v>
      </c>
      <c r="B39" s="5" t="s">
        <v>7</v>
      </c>
      <c r="C39" s="5" t="s">
        <v>44</v>
      </c>
      <c r="D39" s="6" t="s">
        <v>87</v>
      </c>
      <c r="E39" s="5" t="s">
        <v>27</v>
      </c>
      <c r="F39" s="8">
        <v>43736</v>
      </c>
      <c r="G39" s="4"/>
      <c r="H39" s="4"/>
      <c r="I39" s="4"/>
    </row>
    <row r="40" spans="1:9" ht="75.75" thickBot="1" x14ac:dyDescent="0.3">
      <c r="A40" s="5" t="s">
        <v>88</v>
      </c>
      <c r="B40" s="5" t="s">
        <v>7</v>
      </c>
      <c r="C40" s="5" t="s">
        <v>89</v>
      </c>
      <c r="D40" s="6" t="s">
        <v>90</v>
      </c>
      <c r="E40" s="5" t="s">
        <v>21</v>
      </c>
      <c r="F40" s="8">
        <v>43805</v>
      </c>
      <c r="G40" s="4"/>
      <c r="H40" s="4"/>
      <c r="I40" s="4"/>
    </row>
    <row r="41" spans="1:9" ht="90.75" thickBot="1" x14ac:dyDescent="0.3">
      <c r="A41" s="5" t="s">
        <v>91</v>
      </c>
      <c r="B41" s="5" t="s">
        <v>7</v>
      </c>
      <c r="C41" s="5" t="s">
        <v>41</v>
      </c>
      <c r="D41" s="6" t="s">
        <v>92</v>
      </c>
      <c r="E41" s="5" t="s">
        <v>10</v>
      </c>
      <c r="F41" s="8">
        <v>43494</v>
      </c>
      <c r="G41" s="4"/>
      <c r="H41" s="4"/>
      <c r="I41" s="4"/>
    </row>
    <row r="42" spans="1:9" ht="60.75" thickBot="1" x14ac:dyDescent="0.3">
      <c r="A42" s="5" t="s">
        <v>91</v>
      </c>
      <c r="B42" s="5" t="s">
        <v>7</v>
      </c>
      <c r="C42" s="5" t="s">
        <v>41</v>
      </c>
      <c r="D42" s="6" t="s">
        <v>92</v>
      </c>
      <c r="E42" s="5" t="s">
        <v>27</v>
      </c>
      <c r="F42" s="8">
        <v>43984</v>
      </c>
      <c r="G42" s="4"/>
      <c r="H42" s="4"/>
      <c r="I42" s="4"/>
    </row>
    <row r="43" spans="1:9" ht="60.75" thickBot="1" x14ac:dyDescent="0.3">
      <c r="A43" s="5" t="s">
        <v>93</v>
      </c>
      <c r="B43" s="5" t="s">
        <v>12</v>
      </c>
      <c r="C43" s="5" t="s">
        <v>44</v>
      </c>
      <c r="D43" s="6" t="s">
        <v>94</v>
      </c>
      <c r="E43" s="5" t="s">
        <v>27</v>
      </c>
      <c r="F43" s="8">
        <v>43552</v>
      </c>
      <c r="G43" s="4"/>
      <c r="H43" s="4"/>
      <c r="I43" s="4"/>
    </row>
    <row r="44" spans="1:9" ht="75.75" thickBot="1" x14ac:dyDescent="0.3">
      <c r="A44" s="10" t="s">
        <v>95</v>
      </c>
      <c r="B44" s="11"/>
      <c r="C44" s="5" t="s">
        <v>29</v>
      </c>
      <c r="D44" s="6" t="s">
        <v>96</v>
      </c>
      <c r="E44" s="5" t="s">
        <v>21</v>
      </c>
      <c r="F44" s="8">
        <v>43678</v>
      </c>
      <c r="G44" s="4"/>
      <c r="H44" s="4"/>
      <c r="I44" s="4"/>
    </row>
    <row r="45" spans="1:9" ht="75.75" thickBot="1" x14ac:dyDescent="0.3">
      <c r="A45" s="5" t="s">
        <v>97</v>
      </c>
      <c r="B45" s="5" t="s">
        <v>12</v>
      </c>
      <c r="C45" s="5" t="s">
        <v>89</v>
      </c>
      <c r="D45" s="6" t="s">
        <v>98</v>
      </c>
      <c r="E45" s="5" t="s">
        <v>21</v>
      </c>
      <c r="F45" s="8">
        <v>43486</v>
      </c>
      <c r="G45" s="4"/>
      <c r="H45" s="4"/>
      <c r="I45" s="4"/>
    </row>
    <row r="46" spans="1:9" ht="75.75" thickBot="1" x14ac:dyDescent="0.3">
      <c r="A46" s="5" t="s">
        <v>99</v>
      </c>
      <c r="B46" s="5" t="s">
        <v>12</v>
      </c>
      <c r="C46" s="5" t="s">
        <v>19</v>
      </c>
      <c r="D46" s="6" t="s">
        <v>100</v>
      </c>
      <c r="E46" s="5" t="s">
        <v>21</v>
      </c>
      <c r="F46" s="8">
        <v>43876</v>
      </c>
      <c r="G46" s="4"/>
      <c r="H46" s="4"/>
      <c r="I46" s="4"/>
    </row>
    <row r="47" spans="1:9" ht="90.75" thickBot="1" x14ac:dyDescent="0.3">
      <c r="A47" s="5" t="s">
        <v>101</v>
      </c>
      <c r="B47" s="5" t="s">
        <v>7</v>
      </c>
      <c r="C47" s="5" t="s">
        <v>13</v>
      </c>
      <c r="D47" s="6" t="s">
        <v>102</v>
      </c>
      <c r="E47" s="5" t="s">
        <v>10</v>
      </c>
      <c r="F47" s="8">
        <v>43724</v>
      </c>
      <c r="G47" s="4"/>
      <c r="H47" s="4"/>
      <c r="I47" s="4"/>
    </row>
    <row r="48" spans="1:9" ht="90.75" thickBot="1" x14ac:dyDescent="0.3">
      <c r="A48" s="5" t="s">
        <v>103</v>
      </c>
      <c r="B48" s="5" t="s">
        <v>7</v>
      </c>
      <c r="C48" s="5" t="s">
        <v>8</v>
      </c>
      <c r="D48" s="4"/>
      <c r="E48" s="5" t="s">
        <v>10</v>
      </c>
      <c r="F48" s="8">
        <v>43711</v>
      </c>
      <c r="G48" s="4"/>
      <c r="H48" s="4"/>
      <c r="I48" s="4"/>
    </row>
    <row r="49" spans="1:9" ht="75.75" thickBot="1" x14ac:dyDescent="0.3">
      <c r="A49" s="5" t="s">
        <v>104</v>
      </c>
      <c r="B49" s="5" t="s">
        <v>7</v>
      </c>
      <c r="C49" s="5" t="s">
        <v>23</v>
      </c>
      <c r="D49" s="6" t="s">
        <v>105</v>
      </c>
      <c r="E49" s="5" t="s">
        <v>21</v>
      </c>
      <c r="F49" s="8">
        <v>44039</v>
      </c>
      <c r="G49" s="4"/>
      <c r="H49" s="4"/>
      <c r="I49" s="4"/>
    </row>
    <row r="50" spans="1:9" ht="90.75" thickBot="1" x14ac:dyDescent="0.3">
      <c r="A50" s="5" t="s">
        <v>106</v>
      </c>
      <c r="B50" s="5" t="s">
        <v>7</v>
      </c>
      <c r="C50" s="5" t="s">
        <v>17</v>
      </c>
      <c r="D50" s="6" t="s">
        <v>107</v>
      </c>
      <c r="E50" s="5" t="s">
        <v>10</v>
      </c>
      <c r="F50" s="8">
        <v>43842</v>
      </c>
      <c r="G50" s="4"/>
      <c r="H50" s="4"/>
      <c r="I50" s="4"/>
    </row>
    <row r="51" spans="1:9" ht="60.75" thickBot="1" x14ac:dyDescent="0.3">
      <c r="A51" s="5" t="s">
        <v>108</v>
      </c>
      <c r="B51" s="5" t="s">
        <v>7</v>
      </c>
      <c r="C51" s="5" t="s">
        <v>29</v>
      </c>
      <c r="D51" s="6" t="s">
        <v>109</v>
      </c>
      <c r="E51" s="5" t="s">
        <v>27</v>
      </c>
      <c r="F51" s="8">
        <v>43500</v>
      </c>
      <c r="G51" s="4"/>
      <c r="H51" s="4"/>
      <c r="I51" s="4"/>
    </row>
    <row r="52" spans="1:9" ht="60.75" thickBot="1" x14ac:dyDescent="0.3">
      <c r="A52" s="5" t="s">
        <v>108</v>
      </c>
      <c r="B52" s="5" t="s">
        <v>7</v>
      </c>
      <c r="C52" s="5" t="s">
        <v>29</v>
      </c>
      <c r="D52" s="6" t="s">
        <v>109</v>
      </c>
      <c r="E52" s="5" t="s">
        <v>27</v>
      </c>
      <c r="F52" s="8">
        <v>43824</v>
      </c>
      <c r="G52" s="4"/>
      <c r="H52" s="4"/>
      <c r="I52" s="4"/>
    </row>
    <row r="53" spans="1:9" ht="60.75" thickBot="1" x14ac:dyDescent="0.3">
      <c r="A53" s="5" t="s">
        <v>110</v>
      </c>
      <c r="B53" s="5" t="s">
        <v>12</v>
      </c>
      <c r="C53" s="5" t="s">
        <v>23</v>
      </c>
      <c r="D53" s="6" t="s">
        <v>111</v>
      </c>
      <c r="E53" s="5" t="s">
        <v>27</v>
      </c>
      <c r="F53" s="8">
        <v>43626</v>
      </c>
      <c r="G53" s="4"/>
      <c r="H53" s="4"/>
      <c r="I53" s="4"/>
    </row>
    <row r="54" spans="1:9" ht="60.75" thickBot="1" x14ac:dyDescent="0.3">
      <c r="A54" s="5" t="s">
        <v>112</v>
      </c>
      <c r="B54" s="5" t="s">
        <v>12</v>
      </c>
      <c r="C54" s="5" t="s">
        <v>44</v>
      </c>
      <c r="D54" s="6" t="s">
        <v>113</v>
      </c>
      <c r="E54" s="5" t="s">
        <v>27</v>
      </c>
      <c r="F54" s="8">
        <v>43712</v>
      </c>
      <c r="G54" s="4"/>
      <c r="H54" s="4"/>
      <c r="I54" s="4"/>
    </row>
    <row r="55" spans="1:9" ht="75.75" thickBot="1" x14ac:dyDescent="0.3">
      <c r="A55" s="5" t="s">
        <v>114</v>
      </c>
      <c r="B55" s="5" t="s">
        <v>7</v>
      </c>
      <c r="C55" s="5" t="s">
        <v>44</v>
      </c>
      <c r="D55" s="6" t="s">
        <v>115</v>
      </c>
      <c r="E55" s="5" t="s">
        <v>21</v>
      </c>
      <c r="F55" s="8">
        <v>44026</v>
      </c>
      <c r="G55" s="4"/>
      <c r="H55" s="4"/>
      <c r="I55" s="4"/>
    </row>
    <row r="56" spans="1:9" ht="90.75" thickBot="1" x14ac:dyDescent="0.3">
      <c r="A56" s="10" t="s">
        <v>116</v>
      </c>
      <c r="B56" s="11"/>
      <c r="C56" s="5" t="s">
        <v>44</v>
      </c>
      <c r="D56" s="6" t="s">
        <v>117</v>
      </c>
      <c r="E56" s="5" t="s">
        <v>10</v>
      </c>
      <c r="F56" s="8">
        <v>44011</v>
      </c>
      <c r="G56" s="4"/>
      <c r="H56" s="4"/>
      <c r="I56" s="4"/>
    </row>
    <row r="57" spans="1:9" ht="90.75" thickBot="1" x14ac:dyDescent="0.3">
      <c r="A57" s="10" t="s">
        <v>118</v>
      </c>
      <c r="B57" s="11"/>
      <c r="C57" s="5" t="s">
        <v>23</v>
      </c>
      <c r="D57" s="6" t="s">
        <v>119</v>
      </c>
      <c r="E57" s="5" t="s">
        <v>10</v>
      </c>
      <c r="F57" s="8">
        <v>43723</v>
      </c>
      <c r="G57" s="4"/>
      <c r="H57" s="4"/>
      <c r="I57" s="4"/>
    </row>
    <row r="58" spans="1:9" ht="75.75" thickBot="1" x14ac:dyDescent="0.3">
      <c r="A58" s="5" t="s">
        <v>120</v>
      </c>
      <c r="B58" s="5" t="s">
        <v>7</v>
      </c>
      <c r="C58" s="5" t="s">
        <v>89</v>
      </c>
      <c r="D58" s="6" t="s">
        <v>121</v>
      </c>
      <c r="E58" s="5" t="s">
        <v>21</v>
      </c>
      <c r="F58" s="8">
        <v>44025</v>
      </c>
      <c r="G58" s="4"/>
      <c r="H58" s="4"/>
      <c r="I58" s="4"/>
    </row>
    <row r="59" spans="1:9" ht="90.75" thickBot="1" x14ac:dyDescent="0.3">
      <c r="A59" s="5" t="s">
        <v>122</v>
      </c>
      <c r="B59" s="5" t="s">
        <v>7</v>
      </c>
      <c r="C59" s="5" t="s">
        <v>60</v>
      </c>
      <c r="D59" s="6" t="s">
        <v>123</v>
      </c>
      <c r="E59" s="5" t="s">
        <v>10</v>
      </c>
      <c r="F59" s="8">
        <v>43876</v>
      </c>
      <c r="G59" s="4"/>
      <c r="H59" s="4"/>
      <c r="I59" s="4"/>
    </row>
    <row r="60" spans="1:9" ht="60.75" thickBot="1" x14ac:dyDescent="0.3">
      <c r="A60" s="5" t="s">
        <v>124</v>
      </c>
      <c r="B60" s="5" t="s">
        <v>12</v>
      </c>
      <c r="C60" s="5" t="s">
        <v>36</v>
      </c>
      <c r="D60" s="6" t="s">
        <v>125</v>
      </c>
      <c r="E60" s="5" t="s">
        <v>27</v>
      </c>
      <c r="F60" s="8">
        <v>43649</v>
      </c>
      <c r="G60" s="4"/>
      <c r="H60" s="4"/>
      <c r="I60" s="4"/>
    </row>
    <row r="61" spans="1:9" ht="60.75" thickBot="1" x14ac:dyDescent="0.3">
      <c r="A61" s="5" t="s">
        <v>126</v>
      </c>
      <c r="B61" s="5" t="s">
        <v>12</v>
      </c>
      <c r="C61" s="5" t="s">
        <v>13</v>
      </c>
      <c r="D61" s="6" t="s">
        <v>127</v>
      </c>
      <c r="E61" s="5" t="s">
        <v>27</v>
      </c>
      <c r="F61" s="8">
        <v>43995</v>
      </c>
      <c r="G61" s="4"/>
      <c r="H61" s="4"/>
      <c r="I61" s="4"/>
    </row>
    <row r="62" spans="1:9" ht="90.75" thickBot="1" x14ac:dyDescent="0.3">
      <c r="A62" s="5" t="s">
        <v>128</v>
      </c>
      <c r="B62" s="5" t="s">
        <v>12</v>
      </c>
      <c r="C62" s="5" t="s">
        <v>47</v>
      </c>
      <c r="D62" s="6" t="s">
        <v>129</v>
      </c>
      <c r="E62" s="5" t="s">
        <v>10</v>
      </c>
      <c r="F62" s="8">
        <v>43717</v>
      </c>
      <c r="G62" s="4"/>
      <c r="H62" s="4"/>
      <c r="I62" s="4"/>
    </row>
    <row r="63" spans="1:9" ht="60.75" thickBot="1" x14ac:dyDescent="0.3">
      <c r="A63" s="5" t="s">
        <v>130</v>
      </c>
      <c r="B63" s="5" t="s">
        <v>12</v>
      </c>
      <c r="C63" s="5" t="s">
        <v>29</v>
      </c>
      <c r="D63" s="6" t="s">
        <v>131</v>
      </c>
      <c r="E63" s="5" t="s">
        <v>27</v>
      </c>
      <c r="F63" s="8">
        <v>43650</v>
      </c>
      <c r="G63" s="4"/>
      <c r="H63" s="4"/>
      <c r="I63" s="4"/>
    </row>
    <row r="64" spans="1:9" ht="75.75" thickBot="1" x14ac:dyDescent="0.3">
      <c r="A64" s="5" t="s">
        <v>132</v>
      </c>
      <c r="B64" s="5" t="s">
        <v>12</v>
      </c>
      <c r="C64" s="5" t="s">
        <v>29</v>
      </c>
      <c r="D64" s="6" t="s">
        <v>133</v>
      </c>
      <c r="E64" s="5" t="s">
        <v>21</v>
      </c>
      <c r="F64" s="8">
        <v>43684</v>
      </c>
      <c r="G64" s="4"/>
      <c r="H64" s="4"/>
      <c r="I64" s="4"/>
    </row>
    <row r="65" spans="1:9" ht="60.75" thickBot="1" x14ac:dyDescent="0.3">
      <c r="A65" s="5" t="s">
        <v>134</v>
      </c>
      <c r="B65" s="5" t="s">
        <v>12</v>
      </c>
      <c r="C65" s="5" t="s">
        <v>41</v>
      </c>
      <c r="D65" s="6" t="s">
        <v>135</v>
      </c>
      <c r="E65" s="5" t="s">
        <v>27</v>
      </c>
      <c r="F65" s="8">
        <v>43643</v>
      </c>
      <c r="G65" s="4"/>
      <c r="H65" s="4"/>
      <c r="I65" s="4"/>
    </row>
    <row r="66" spans="1:9" ht="60.75" thickBot="1" x14ac:dyDescent="0.3">
      <c r="A66" s="5" t="s">
        <v>136</v>
      </c>
      <c r="B66" s="5" t="s">
        <v>7</v>
      </c>
      <c r="C66" s="5" t="s">
        <v>47</v>
      </c>
      <c r="D66" s="6" t="s">
        <v>137</v>
      </c>
      <c r="E66" s="5" t="s">
        <v>27</v>
      </c>
      <c r="F66" s="8">
        <v>43994</v>
      </c>
      <c r="G66" s="4"/>
      <c r="H66" s="4"/>
      <c r="I66" s="4"/>
    </row>
    <row r="67" spans="1:9" ht="60.75" thickBot="1" x14ac:dyDescent="0.3">
      <c r="A67" s="5" t="s">
        <v>138</v>
      </c>
      <c r="B67" s="5" t="s">
        <v>7</v>
      </c>
      <c r="C67" s="5" t="s">
        <v>29</v>
      </c>
      <c r="D67" s="6" t="s">
        <v>139</v>
      </c>
      <c r="E67" s="5" t="s">
        <v>27</v>
      </c>
      <c r="F67" s="8">
        <v>43534</v>
      </c>
      <c r="G67" s="4"/>
      <c r="H67" s="4"/>
      <c r="I67" s="4"/>
    </row>
    <row r="68" spans="1:9" ht="75.75" thickBot="1" x14ac:dyDescent="0.3">
      <c r="A68" s="5" t="s">
        <v>138</v>
      </c>
      <c r="B68" s="5" t="s">
        <v>7</v>
      </c>
      <c r="C68" s="5" t="s">
        <v>29</v>
      </c>
      <c r="D68" s="6" t="s">
        <v>139</v>
      </c>
      <c r="E68" s="5" t="s">
        <v>21</v>
      </c>
      <c r="F68" s="8">
        <v>43711</v>
      </c>
      <c r="G68" s="4"/>
      <c r="H68" s="4"/>
      <c r="I68" s="4"/>
    </row>
    <row r="69" spans="1:9" ht="75.75" thickBot="1" x14ac:dyDescent="0.3">
      <c r="A69" s="5" t="s">
        <v>140</v>
      </c>
      <c r="B69" s="5" t="s">
        <v>12</v>
      </c>
      <c r="C69" s="5" t="s">
        <v>17</v>
      </c>
      <c r="D69" s="6" t="s">
        <v>141</v>
      </c>
      <c r="E69" s="5" t="s">
        <v>21</v>
      </c>
      <c r="F69" s="8">
        <v>43887</v>
      </c>
      <c r="G69" s="4"/>
      <c r="H69" s="4"/>
      <c r="I69" s="4"/>
    </row>
    <row r="70" spans="1:9" ht="60.75" thickBot="1" x14ac:dyDescent="0.3">
      <c r="A70" s="5" t="s">
        <v>142</v>
      </c>
      <c r="B70" s="5" t="s">
        <v>12</v>
      </c>
      <c r="C70" s="5" t="s">
        <v>19</v>
      </c>
      <c r="D70" s="6" t="s">
        <v>143</v>
      </c>
      <c r="E70" s="5" t="s">
        <v>27</v>
      </c>
      <c r="F70" s="8">
        <v>43732</v>
      </c>
      <c r="G70" s="4"/>
      <c r="H70" s="4"/>
      <c r="I70" s="4"/>
    </row>
    <row r="71" spans="1:9" ht="75.75" thickBot="1" x14ac:dyDescent="0.3">
      <c r="A71" s="5" t="s">
        <v>142</v>
      </c>
      <c r="B71" s="5" t="s">
        <v>12</v>
      </c>
      <c r="C71" s="5" t="s">
        <v>19</v>
      </c>
      <c r="D71" s="6" t="s">
        <v>143</v>
      </c>
      <c r="E71" s="5" t="s">
        <v>21</v>
      </c>
      <c r="F71" s="8">
        <v>43933</v>
      </c>
      <c r="G71" s="4"/>
      <c r="H71" s="4"/>
      <c r="I71" s="4"/>
    </row>
    <row r="72" spans="1:9" ht="75.75" thickBot="1" x14ac:dyDescent="0.3">
      <c r="A72" s="10" t="s">
        <v>144</v>
      </c>
      <c r="B72" s="11"/>
      <c r="C72" s="5" t="s">
        <v>41</v>
      </c>
      <c r="D72" s="6" t="s">
        <v>145</v>
      </c>
      <c r="E72" s="5" t="s">
        <v>21</v>
      </c>
      <c r="F72" s="8">
        <v>43896</v>
      </c>
      <c r="G72" s="4"/>
      <c r="H72" s="4"/>
      <c r="I72" s="4"/>
    </row>
    <row r="73" spans="1:9" ht="90.75" thickBot="1" x14ac:dyDescent="0.3">
      <c r="A73" s="10" t="s">
        <v>146</v>
      </c>
      <c r="B73" s="11"/>
      <c r="C73" s="5" t="s">
        <v>89</v>
      </c>
      <c r="D73" s="6" t="s">
        <v>147</v>
      </c>
      <c r="E73" s="5" t="s">
        <v>10</v>
      </c>
      <c r="F73" s="8">
        <v>43581</v>
      </c>
      <c r="G73" s="4"/>
      <c r="H73" s="4"/>
      <c r="I73" s="4"/>
    </row>
    <row r="74" spans="1:9" ht="90.75" thickBot="1" x14ac:dyDescent="0.3">
      <c r="A74" s="5" t="s">
        <v>148</v>
      </c>
      <c r="B74" s="5" t="s">
        <v>7</v>
      </c>
      <c r="C74" s="5" t="s">
        <v>19</v>
      </c>
      <c r="D74" s="6" t="s">
        <v>149</v>
      </c>
      <c r="E74" s="5" t="s">
        <v>10</v>
      </c>
      <c r="F74" s="8">
        <v>43727</v>
      </c>
      <c r="G74" s="4"/>
      <c r="H74" s="4"/>
      <c r="I74" s="4"/>
    </row>
    <row r="75" spans="1:9" ht="90.75" thickBot="1" x14ac:dyDescent="0.3">
      <c r="A75" s="5" t="s">
        <v>150</v>
      </c>
      <c r="B75" s="5" t="s">
        <v>7</v>
      </c>
      <c r="C75" s="5" t="s">
        <v>29</v>
      </c>
      <c r="D75" s="6" t="s">
        <v>151</v>
      </c>
      <c r="E75" s="5" t="s">
        <v>10</v>
      </c>
      <c r="F75" s="8">
        <v>43477</v>
      </c>
      <c r="G75" s="4"/>
      <c r="H75" s="4"/>
      <c r="I75" s="4"/>
    </row>
    <row r="76" spans="1:9" ht="90.75" thickBot="1" x14ac:dyDescent="0.3">
      <c r="A76" s="5" t="s">
        <v>150</v>
      </c>
      <c r="B76" s="5" t="s">
        <v>7</v>
      </c>
      <c r="C76" s="5" t="s">
        <v>29</v>
      </c>
      <c r="D76" s="6" t="s">
        <v>151</v>
      </c>
      <c r="E76" s="5" t="s">
        <v>10</v>
      </c>
      <c r="F76" s="8">
        <v>43701</v>
      </c>
      <c r="G76" s="4"/>
      <c r="H76" s="4"/>
      <c r="I76" s="4"/>
    </row>
    <row r="77" spans="1:9" ht="75.75" thickBot="1" x14ac:dyDescent="0.3">
      <c r="A77" s="5" t="s">
        <v>152</v>
      </c>
      <c r="B77" s="5" t="s">
        <v>7</v>
      </c>
      <c r="C77" s="5" t="s">
        <v>41</v>
      </c>
      <c r="D77" s="6" t="s">
        <v>153</v>
      </c>
      <c r="E77" s="5" t="s">
        <v>21</v>
      </c>
      <c r="F77" s="8">
        <v>44002</v>
      </c>
      <c r="G77" s="4"/>
      <c r="H77" s="4"/>
      <c r="I77" s="4"/>
    </row>
    <row r="78" spans="1:9" ht="75.75" thickBot="1" x14ac:dyDescent="0.3">
      <c r="A78" s="5" t="s">
        <v>154</v>
      </c>
      <c r="B78" s="5" t="s">
        <v>12</v>
      </c>
      <c r="C78" s="5" t="s">
        <v>29</v>
      </c>
      <c r="D78" s="6" t="s">
        <v>155</v>
      </c>
      <c r="E78" s="5" t="s">
        <v>21</v>
      </c>
      <c r="F78" s="8">
        <v>43613</v>
      </c>
      <c r="G78" s="4"/>
      <c r="H78" s="4"/>
      <c r="I78" s="4"/>
    </row>
    <row r="79" spans="1:9" ht="90.75" thickBot="1" x14ac:dyDescent="0.3">
      <c r="A79" s="5" t="s">
        <v>154</v>
      </c>
      <c r="B79" s="5" t="s">
        <v>12</v>
      </c>
      <c r="C79" s="5" t="s">
        <v>29</v>
      </c>
      <c r="D79" s="6" t="s">
        <v>155</v>
      </c>
      <c r="E79" s="5" t="s">
        <v>10</v>
      </c>
      <c r="F79" s="8">
        <v>43795</v>
      </c>
      <c r="G79" s="4"/>
      <c r="H79" s="4"/>
      <c r="I79" s="4"/>
    </row>
    <row r="80" spans="1:9" ht="60.75" thickBot="1" x14ac:dyDescent="0.3">
      <c r="A80" s="5" t="s">
        <v>156</v>
      </c>
      <c r="B80" s="5" t="s">
        <v>7</v>
      </c>
      <c r="C80" s="5" t="s">
        <v>17</v>
      </c>
      <c r="D80" s="6" t="s">
        <v>157</v>
      </c>
      <c r="E80" s="5" t="s">
        <v>27</v>
      </c>
      <c r="F80" s="8">
        <v>43548</v>
      </c>
      <c r="G80" s="4"/>
      <c r="H80" s="4"/>
      <c r="I80" s="4"/>
    </row>
    <row r="81" spans="1:9" ht="60.75" thickBot="1" x14ac:dyDescent="0.3">
      <c r="A81" s="5" t="s">
        <v>158</v>
      </c>
      <c r="B81" s="5" t="s">
        <v>7</v>
      </c>
      <c r="C81" s="5" t="s">
        <v>60</v>
      </c>
      <c r="D81" s="6" t="s">
        <v>159</v>
      </c>
      <c r="E81" s="5" t="s">
        <v>27</v>
      </c>
      <c r="F81" s="8">
        <v>43932</v>
      </c>
      <c r="G81" s="4"/>
      <c r="H81" s="4"/>
      <c r="I81" s="4"/>
    </row>
    <row r="82" spans="1:9" ht="75.75" thickBot="1" x14ac:dyDescent="0.3">
      <c r="A82" s="5" t="s">
        <v>160</v>
      </c>
      <c r="B82" s="5" t="s">
        <v>7</v>
      </c>
      <c r="C82" s="5" t="s">
        <v>29</v>
      </c>
      <c r="D82" s="6" t="s">
        <v>161</v>
      </c>
      <c r="E82" s="5" t="s">
        <v>21</v>
      </c>
      <c r="F82" s="8">
        <v>43806</v>
      </c>
      <c r="G82" s="4"/>
      <c r="H82" s="4"/>
      <c r="I82" s="4"/>
    </row>
    <row r="83" spans="1:9" ht="90.75" thickBot="1" x14ac:dyDescent="0.3">
      <c r="A83" s="5" t="s">
        <v>160</v>
      </c>
      <c r="B83" s="5" t="s">
        <v>7</v>
      </c>
      <c r="C83" s="5" t="s">
        <v>29</v>
      </c>
      <c r="D83" s="6" t="s">
        <v>161</v>
      </c>
      <c r="E83" s="5" t="s">
        <v>10</v>
      </c>
      <c r="F83" s="8">
        <v>43876</v>
      </c>
      <c r="G83" s="4"/>
      <c r="H83" s="4"/>
      <c r="I83" s="4"/>
    </row>
    <row r="84" spans="1:9" ht="60.75" thickBot="1" x14ac:dyDescent="0.3">
      <c r="A84" s="5" t="s">
        <v>162</v>
      </c>
      <c r="B84" s="5" t="s">
        <v>12</v>
      </c>
      <c r="C84" s="5" t="s">
        <v>163</v>
      </c>
      <c r="D84" s="6" t="s">
        <v>164</v>
      </c>
      <c r="E84" s="5" t="s">
        <v>27</v>
      </c>
      <c r="F84" s="8">
        <v>43993</v>
      </c>
      <c r="G84" s="4"/>
      <c r="H84" s="4"/>
      <c r="I84" s="4"/>
    </row>
    <row r="85" spans="1:9" ht="60.75" thickBot="1" x14ac:dyDescent="0.3">
      <c r="A85" s="5" t="s">
        <v>165</v>
      </c>
      <c r="B85" s="5" t="s">
        <v>7</v>
      </c>
      <c r="C85" s="5" t="s">
        <v>47</v>
      </c>
      <c r="D85" s="6" t="s">
        <v>166</v>
      </c>
      <c r="E85" s="5" t="s">
        <v>27</v>
      </c>
      <c r="F85" s="8">
        <v>43942</v>
      </c>
      <c r="G85" s="4"/>
      <c r="H85" s="4"/>
      <c r="I85" s="4"/>
    </row>
    <row r="86" spans="1:9" ht="75.75" thickBot="1" x14ac:dyDescent="0.3">
      <c r="A86" s="5" t="s">
        <v>167</v>
      </c>
      <c r="B86" s="5" t="s">
        <v>7</v>
      </c>
      <c r="C86" s="5" t="s">
        <v>29</v>
      </c>
      <c r="D86" s="6" t="s">
        <v>168</v>
      </c>
      <c r="E86" s="5" t="s">
        <v>21</v>
      </c>
      <c r="F86" s="8">
        <v>43839</v>
      </c>
      <c r="G86" s="4"/>
      <c r="H86" s="4"/>
      <c r="I86" s="4"/>
    </row>
    <row r="87" spans="1:9" ht="75.75" thickBot="1" x14ac:dyDescent="0.3">
      <c r="A87" s="5" t="s">
        <v>169</v>
      </c>
      <c r="B87" s="5" t="s">
        <v>7</v>
      </c>
      <c r="C87" s="5" t="s">
        <v>23</v>
      </c>
      <c r="D87" s="6" t="s">
        <v>170</v>
      </c>
      <c r="E87" s="5" t="s">
        <v>21</v>
      </c>
      <c r="F87" s="8">
        <v>43512</v>
      </c>
      <c r="G87" s="4"/>
      <c r="H87" s="4"/>
      <c r="I87" s="4"/>
    </row>
    <row r="88" spans="1:9" ht="60.75" thickBot="1" x14ac:dyDescent="0.3">
      <c r="A88" s="5" t="s">
        <v>171</v>
      </c>
      <c r="B88" s="5" t="s">
        <v>12</v>
      </c>
      <c r="C88" s="5" t="s">
        <v>13</v>
      </c>
      <c r="D88" s="6" t="s">
        <v>172</v>
      </c>
      <c r="E88" s="5" t="s">
        <v>27</v>
      </c>
      <c r="F88" s="8">
        <v>43639</v>
      </c>
      <c r="G88" s="4"/>
      <c r="H88" s="4"/>
      <c r="I88" s="4"/>
    </row>
    <row r="89" spans="1:9" ht="75.75" thickBot="1" x14ac:dyDescent="0.3">
      <c r="A89" s="5" t="s">
        <v>173</v>
      </c>
      <c r="B89" s="5" t="s">
        <v>12</v>
      </c>
      <c r="C89" s="5" t="s">
        <v>89</v>
      </c>
      <c r="D89" s="6" t="s">
        <v>174</v>
      </c>
      <c r="E89" s="5" t="s">
        <v>21</v>
      </c>
      <c r="F89" s="8">
        <v>43555</v>
      </c>
      <c r="G89" s="4"/>
      <c r="H89" s="4"/>
      <c r="I89" s="4"/>
    </row>
    <row r="90" spans="1:9" ht="90.75" thickBot="1" x14ac:dyDescent="0.3">
      <c r="A90" s="5" t="s">
        <v>175</v>
      </c>
      <c r="B90" s="5" t="s">
        <v>7</v>
      </c>
      <c r="C90" s="10" t="s">
        <v>89</v>
      </c>
      <c r="D90" s="11"/>
      <c r="E90" s="5" t="s">
        <v>10</v>
      </c>
      <c r="F90" s="8">
        <v>43565</v>
      </c>
      <c r="G90" s="4"/>
      <c r="H90" s="4"/>
      <c r="I90" s="4"/>
    </row>
    <row r="91" spans="1:9" ht="75.75" thickBot="1" x14ac:dyDescent="0.3">
      <c r="A91" s="5" t="s">
        <v>176</v>
      </c>
      <c r="B91" s="5" t="s">
        <v>7</v>
      </c>
      <c r="C91" s="5" t="s">
        <v>44</v>
      </c>
      <c r="D91" s="6" t="s">
        <v>177</v>
      </c>
      <c r="E91" s="5" t="s">
        <v>21</v>
      </c>
      <c r="F91" s="8">
        <v>43716</v>
      </c>
      <c r="G91" s="4"/>
      <c r="H91" s="4"/>
      <c r="I91" s="4"/>
    </row>
    <row r="92" spans="1:9" ht="75.75" thickBot="1" x14ac:dyDescent="0.3">
      <c r="A92" s="5" t="s">
        <v>178</v>
      </c>
      <c r="B92" s="5" t="s">
        <v>12</v>
      </c>
      <c r="C92" s="5" t="s">
        <v>23</v>
      </c>
      <c r="D92" s="6" t="s">
        <v>179</v>
      </c>
      <c r="E92" s="5" t="s">
        <v>21</v>
      </c>
      <c r="F92" s="8">
        <v>43746</v>
      </c>
      <c r="G92" s="4"/>
      <c r="H92" s="4"/>
      <c r="I92" s="4"/>
    </row>
  </sheetData>
  <mergeCells count="7">
    <mergeCell ref="C90:D90"/>
    <mergeCell ref="A38:B38"/>
    <mergeCell ref="A44:B44"/>
    <mergeCell ref="A56:B56"/>
    <mergeCell ref="A57:B57"/>
    <mergeCell ref="A72:B72"/>
    <mergeCell ref="A73:B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8E74-FF0B-4E8F-8DCA-94A569340625}">
  <dimension ref="A1:J38"/>
  <sheetViews>
    <sheetView workbookViewId="0">
      <selection activeCell="J5" sqref="J5"/>
    </sheetView>
  </sheetViews>
  <sheetFormatPr defaultRowHeight="15" x14ac:dyDescent="0.25"/>
  <cols>
    <col min="1" max="1" width="25" customWidth="1"/>
    <col min="2" max="2" width="10.7109375" bestFit="1" customWidth="1"/>
    <col min="5" max="5" width="12" customWidth="1"/>
    <col min="7" max="7" width="21.85546875" customWidth="1"/>
    <col min="10" max="10" width="10.42578125" bestFit="1" customWidth="1"/>
  </cols>
  <sheetData>
    <row r="1" spans="1:10" ht="15.75" thickBot="1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4"/>
      <c r="I1" s="4"/>
    </row>
    <row r="2" spans="1:10" ht="45.75" thickBot="1" x14ac:dyDescent="0.3">
      <c r="A2" s="5" t="s">
        <v>10</v>
      </c>
      <c r="B2" s="8">
        <v>43894</v>
      </c>
      <c r="C2" s="5" t="s">
        <v>6</v>
      </c>
      <c r="D2" s="5" t="s">
        <v>7</v>
      </c>
      <c r="E2" s="5" t="s">
        <v>8</v>
      </c>
      <c r="F2" s="6" t="s">
        <v>9</v>
      </c>
      <c r="G2" s="5" t="s">
        <v>10</v>
      </c>
      <c r="H2" s="4"/>
      <c r="I2" s="3" t="s">
        <v>182</v>
      </c>
    </row>
    <row r="3" spans="1:10" ht="78" thickBot="1" x14ac:dyDescent="0.3">
      <c r="A3" s="5" t="s">
        <v>10</v>
      </c>
      <c r="B3" s="8">
        <v>43609</v>
      </c>
      <c r="C3" s="5" t="s">
        <v>11</v>
      </c>
      <c r="D3" s="5" t="s">
        <v>12</v>
      </c>
      <c r="E3" s="5" t="s">
        <v>13</v>
      </c>
      <c r="F3" s="6" t="s">
        <v>14</v>
      </c>
      <c r="G3" s="5" t="s">
        <v>10</v>
      </c>
      <c r="H3" s="4"/>
      <c r="I3" s="4" t="str">
        <f>_xlfn.XLOOKUP(C2,C1:C38,A1:A38,0)</f>
        <v>3 Redmond Way
Bellevue, WA
USA</v>
      </c>
    </row>
    <row r="4" spans="1:10" ht="90.75" customHeight="1" thickBot="1" x14ac:dyDescent="0.3">
      <c r="A4" s="5" t="s">
        <v>10</v>
      </c>
      <c r="B4" s="8">
        <v>43588</v>
      </c>
      <c r="C4" s="5" t="s">
        <v>16</v>
      </c>
      <c r="D4" s="5" t="s">
        <v>7</v>
      </c>
      <c r="E4" s="5" t="s">
        <v>17</v>
      </c>
      <c r="F4" s="4"/>
      <c r="G4" s="5" t="s">
        <v>10</v>
      </c>
      <c r="H4" s="4"/>
      <c r="I4" s="3" t="s">
        <v>183</v>
      </c>
    </row>
    <row r="5" spans="1:10" ht="30.75" thickBot="1" x14ac:dyDescent="0.3">
      <c r="A5" s="5" t="s">
        <v>21</v>
      </c>
      <c r="B5" s="8">
        <v>43696</v>
      </c>
      <c r="C5" s="5" t="s">
        <v>18</v>
      </c>
      <c r="D5" s="5" t="s">
        <v>7</v>
      </c>
      <c r="E5" s="5" t="s">
        <v>19</v>
      </c>
      <c r="F5" s="6" t="s">
        <v>20</v>
      </c>
      <c r="G5" s="12" t="s">
        <v>21</v>
      </c>
      <c r="H5" s="4"/>
      <c r="I5" s="4"/>
      <c r="J5" s="7">
        <f>INDEX(B1:B38,MATCH("Ab Lehrian",C1:C38,FALSE))</f>
        <v>43894</v>
      </c>
    </row>
    <row r="6" spans="1:10" ht="90.75" thickBot="1" x14ac:dyDescent="0.3">
      <c r="A6" s="5" t="s">
        <v>10</v>
      </c>
      <c r="B6" s="8">
        <v>43972</v>
      </c>
      <c r="C6" s="5" t="s">
        <v>18</v>
      </c>
      <c r="D6" s="5" t="s">
        <v>7</v>
      </c>
      <c r="E6" s="5" t="s">
        <v>19</v>
      </c>
      <c r="F6" s="6" t="s">
        <v>20</v>
      </c>
      <c r="G6" s="5" t="s">
        <v>10</v>
      </c>
      <c r="H6" s="4"/>
      <c r="I6" s="4"/>
    </row>
    <row r="7" spans="1:10" ht="90.75" thickBot="1" x14ac:dyDescent="0.3">
      <c r="A7" s="5" t="s">
        <v>10</v>
      </c>
      <c r="B7" s="8">
        <v>43673</v>
      </c>
      <c r="C7" s="5" t="s">
        <v>22</v>
      </c>
      <c r="D7" s="5" t="s">
        <v>12</v>
      </c>
      <c r="E7" s="5" t="s">
        <v>23</v>
      </c>
      <c r="F7" s="6" t="s">
        <v>24</v>
      </c>
      <c r="G7" s="5" t="s">
        <v>10</v>
      </c>
      <c r="H7" s="4"/>
      <c r="I7" s="4"/>
    </row>
    <row r="8" spans="1:10" ht="60.75" thickBot="1" x14ac:dyDescent="0.3">
      <c r="A8" s="5" t="s">
        <v>27</v>
      </c>
      <c r="B8" s="8">
        <v>43968</v>
      </c>
      <c r="C8" s="5" t="s">
        <v>25</v>
      </c>
      <c r="D8" s="5" t="s">
        <v>12</v>
      </c>
      <c r="E8" s="5" t="s">
        <v>19</v>
      </c>
      <c r="F8" s="6" t="s">
        <v>26</v>
      </c>
      <c r="G8" s="12" t="s">
        <v>27</v>
      </c>
      <c r="H8" s="4"/>
      <c r="I8" s="4"/>
    </row>
    <row r="9" spans="1:10" ht="90.75" thickBot="1" x14ac:dyDescent="0.3">
      <c r="A9" s="5" t="s">
        <v>10</v>
      </c>
      <c r="B9" s="8">
        <v>44023</v>
      </c>
      <c r="C9" s="5" t="s">
        <v>28</v>
      </c>
      <c r="D9" s="5" t="s">
        <v>12</v>
      </c>
      <c r="E9" s="5" t="s">
        <v>29</v>
      </c>
      <c r="F9" s="6" t="s">
        <v>30</v>
      </c>
      <c r="G9" s="5" t="s">
        <v>10</v>
      </c>
      <c r="H9" s="4"/>
      <c r="I9" s="4"/>
    </row>
    <row r="10" spans="1:10" ht="75.75" thickBot="1" x14ac:dyDescent="0.3">
      <c r="A10" s="5" t="s">
        <v>21</v>
      </c>
      <c r="B10" s="8">
        <v>44029</v>
      </c>
      <c r="C10" s="5" t="s">
        <v>28</v>
      </c>
      <c r="D10" s="5" t="s">
        <v>12</v>
      </c>
      <c r="E10" s="5" t="s">
        <v>29</v>
      </c>
      <c r="F10" s="6" t="s">
        <v>30</v>
      </c>
      <c r="G10" s="12" t="s">
        <v>21</v>
      </c>
      <c r="H10" s="4"/>
      <c r="I10" s="4"/>
    </row>
    <row r="11" spans="1:10" ht="75.75" thickBot="1" x14ac:dyDescent="0.3">
      <c r="A11" s="5" t="s">
        <v>21</v>
      </c>
      <c r="B11" s="8">
        <v>43666</v>
      </c>
      <c r="C11" s="5" t="s">
        <v>31</v>
      </c>
      <c r="D11" s="5" t="s">
        <v>7</v>
      </c>
      <c r="E11" s="5" t="s">
        <v>23</v>
      </c>
      <c r="F11" s="6" t="s">
        <v>32</v>
      </c>
      <c r="G11" s="12" t="s">
        <v>21</v>
      </c>
      <c r="H11" s="4"/>
      <c r="I11" s="4"/>
    </row>
    <row r="12" spans="1:10" ht="90.75" thickBot="1" x14ac:dyDescent="0.3">
      <c r="A12" s="5" t="s">
        <v>10</v>
      </c>
      <c r="B12" s="8">
        <v>43922</v>
      </c>
      <c r="C12" s="5" t="s">
        <v>33</v>
      </c>
      <c r="D12" s="5" t="s">
        <v>7</v>
      </c>
      <c r="E12" s="5" t="s">
        <v>29</v>
      </c>
      <c r="F12" s="6" t="s">
        <v>34</v>
      </c>
      <c r="G12" s="5" t="s">
        <v>10</v>
      </c>
      <c r="H12" s="4"/>
      <c r="I12" s="4"/>
    </row>
    <row r="13" spans="1:10" ht="90.75" thickBot="1" x14ac:dyDescent="0.3">
      <c r="A13" s="5" t="s">
        <v>10</v>
      </c>
      <c r="B13" s="8">
        <v>43784</v>
      </c>
      <c r="C13" s="5" t="s">
        <v>35</v>
      </c>
      <c r="D13" s="5" t="s">
        <v>7</v>
      </c>
      <c r="E13" s="5" t="s">
        <v>36</v>
      </c>
      <c r="F13" s="6" t="s">
        <v>37</v>
      </c>
      <c r="G13" s="5" t="s">
        <v>10</v>
      </c>
      <c r="H13" s="4"/>
      <c r="I13" s="4"/>
    </row>
    <row r="14" spans="1:10" ht="60.75" thickBot="1" x14ac:dyDescent="0.3">
      <c r="A14" s="5" t="s">
        <v>27</v>
      </c>
      <c r="B14" s="8">
        <v>43800</v>
      </c>
      <c r="C14" s="5" t="s">
        <v>38</v>
      </c>
      <c r="D14" s="5" t="s">
        <v>7</v>
      </c>
      <c r="E14" s="5" t="s">
        <v>36</v>
      </c>
      <c r="F14" s="6" t="s">
        <v>39</v>
      </c>
      <c r="G14" s="12" t="s">
        <v>27</v>
      </c>
      <c r="H14" s="4"/>
      <c r="I14" s="4"/>
    </row>
    <row r="15" spans="1:10" ht="90.75" thickBot="1" x14ac:dyDescent="0.3">
      <c r="A15" s="5" t="s">
        <v>10</v>
      </c>
      <c r="B15" s="8">
        <v>43526</v>
      </c>
      <c r="C15" s="5" t="s">
        <v>40</v>
      </c>
      <c r="D15" s="5" t="s">
        <v>12</v>
      </c>
      <c r="E15" s="5" t="s">
        <v>41</v>
      </c>
      <c r="F15" s="6" t="s">
        <v>42</v>
      </c>
      <c r="G15" s="5" t="s">
        <v>10</v>
      </c>
      <c r="H15" s="4"/>
      <c r="I15" s="4"/>
    </row>
    <row r="16" spans="1:10" ht="75.75" thickBot="1" x14ac:dyDescent="0.3">
      <c r="A16" s="5" t="s">
        <v>21</v>
      </c>
      <c r="B16" s="8">
        <v>43745</v>
      </c>
      <c r="C16" s="5" t="s">
        <v>40</v>
      </c>
      <c r="D16" s="5" t="s">
        <v>12</v>
      </c>
      <c r="E16" s="5" t="s">
        <v>41</v>
      </c>
      <c r="F16" s="6" t="s">
        <v>42</v>
      </c>
      <c r="G16" s="12" t="s">
        <v>21</v>
      </c>
      <c r="H16" s="4"/>
      <c r="I16" s="4"/>
    </row>
    <row r="17" spans="1:9" ht="90.75" thickBot="1" x14ac:dyDescent="0.3">
      <c r="A17" s="5" t="s">
        <v>10</v>
      </c>
      <c r="B17" s="8">
        <v>43797</v>
      </c>
      <c r="C17" s="5" t="s">
        <v>43</v>
      </c>
      <c r="D17" s="5" t="s">
        <v>12</v>
      </c>
      <c r="E17" s="5" t="s">
        <v>44</v>
      </c>
      <c r="F17" s="6" t="s">
        <v>45</v>
      </c>
      <c r="G17" s="5" t="s">
        <v>10</v>
      </c>
      <c r="H17" s="4"/>
      <c r="I17" s="4"/>
    </row>
    <row r="18" spans="1:9" ht="60.75" thickBot="1" x14ac:dyDescent="0.3">
      <c r="A18" s="5" t="s">
        <v>27</v>
      </c>
      <c r="B18" s="8">
        <v>43475</v>
      </c>
      <c r="C18" s="5" t="s">
        <v>46</v>
      </c>
      <c r="D18" s="5" t="s">
        <v>12</v>
      </c>
      <c r="E18" s="5" t="s">
        <v>47</v>
      </c>
      <c r="F18" s="6" t="s">
        <v>48</v>
      </c>
      <c r="G18" s="12" t="s">
        <v>27</v>
      </c>
      <c r="H18" s="4"/>
      <c r="I18" s="4"/>
    </row>
    <row r="19" spans="1:9" ht="90.75" thickBot="1" x14ac:dyDescent="0.3">
      <c r="A19" s="5" t="s">
        <v>10</v>
      </c>
      <c r="B19" s="8">
        <v>43635</v>
      </c>
      <c r="C19" s="5" t="s">
        <v>49</v>
      </c>
      <c r="D19" s="5" t="s">
        <v>7</v>
      </c>
      <c r="E19" s="5" t="s">
        <v>29</v>
      </c>
      <c r="F19" s="6" t="s">
        <v>50</v>
      </c>
      <c r="G19" s="5" t="s">
        <v>10</v>
      </c>
      <c r="H19" s="4"/>
      <c r="I19" s="4"/>
    </row>
    <row r="20" spans="1:9" ht="75.75" thickBot="1" x14ac:dyDescent="0.3">
      <c r="A20" s="5" t="s">
        <v>21</v>
      </c>
      <c r="B20" s="8">
        <v>43582</v>
      </c>
      <c r="C20" s="5" t="s">
        <v>51</v>
      </c>
      <c r="D20" s="5" t="s">
        <v>7</v>
      </c>
      <c r="E20" s="5" t="s">
        <v>13</v>
      </c>
      <c r="F20" s="6" t="s">
        <v>52</v>
      </c>
      <c r="G20" s="12" t="s">
        <v>21</v>
      </c>
      <c r="H20" s="4"/>
      <c r="I20" s="4"/>
    </row>
    <row r="21" spans="1:9" ht="90.75" thickBot="1" x14ac:dyDescent="0.3">
      <c r="A21" s="5" t="s">
        <v>10</v>
      </c>
      <c r="B21" s="8">
        <v>43491</v>
      </c>
      <c r="C21" s="5" t="s">
        <v>53</v>
      </c>
      <c r="D21" s="5" t="s">
        <v>7</v>
      </c>
      <c r="E21" s="5" t="s">
        <v>19</v>
      </c>
      <c r="F21" s="6" t="s">
        <v>54</v>
      </c>
      <c r="G21" s="5" t="s">
        <v>10</v>
      </c>
      <c r="H21" s="4"/>
      <c r="I21" s="4"/>
    </row>
    <row r="22" spans="1:9" ht="75.75" thickBot="1" x14ac:dyDescent="0.3">
      <c r="A22" s="5" t="s">
        <v>21</v>
      </c>
      <c r="B22" s="8">
        <v>43718</v>
      </c>
      <c r="C22" s="5" t="s">
        <v>55</v>
      </c>
      <c r="D22" s="5" t="s">
        <v>7</v>
      </c>
      <c r="E22" s="5" t="s">
        <v>29</v>
      </c>
      <c r="F22" s="6" t="s">
        <v>56</v>
      </c>
      <c r="G22" s="12" t="s">
        <v>21</v>
      </c>
      <c r="H22" s="4"/>
      <c r="I22" s="4"/>
    </row>
    <row r="23" spans="1:9" ht="75.75" thickBot="1" x14ac:dyDescent="0.3">
      <c r="A23" s="5" t="s">
        <v>21</v>
      </c>
      <c r="B23" s="8">
        <v>43696</v>
      </c>
      <c r="C23" s="5" t="s">
        <v>57</v>
      </c>
      <c r="D23" s="5" t="s">
        <v>7</v>
      </c>
      <c r="E23" s="5" t="s">
        <v>44</v>
      </c>
      <c r="F23" s="6" t="s">
        <v>58</v>
      </c>
      <c r="G23" s="12" t="s">
        <v>21</v>
      </c>
      <c r="H23" s="4"/>
      <c r="I23" s="4"/>
    </row>
    <row r="24" spans="1:9" ht="75.75" thickBot="1" x14ac:dyDescent="0.3">
      <c r="A24" s="5" t="s">
        <v>21</v>
      </c>
      <c r="B24" s="8">
        <v>43851</v>
      </c>
      <c r="C24" s="5" t="s">
        <v>59</v>
      </c>
      <c r="D24" s="5" t="s">
        <v>12</v>
      </c>
      <c r="E24" s="5" t="s">
        <v>60</v>
      </c>
      <c r="F24" s="6" t="s">
        <v>61</v>
      </c>
      <c r="G24" s="12" t="s">
        <v>21</v>
      </c>
      <c r="H24" s="4"/>
      <c r="I24" s="4"/>
    </row>
    <row r="25" spans="1:9" ht="75.75" thickBot="1" x14ac:dyDescent="0.3">
      <c r="A25" s="5" t="s">
        <v>21</v>
      </c>
      <c r="B25" s="8">
        <v>43678</v>
      </c>
      <c r="C25" s="5" t="s">
        <v>62</v>
      </c>
      <c r="D25" s="5" t="s">
        <v>7</v>
      </c>
      <c r="E25" s="5" t="s">
        <v>29</v>
      </c>
      <c r="F25" s="6" t="s">
        <v>63</v>
      </c>
      <c r="G25" s="12" t="s">
        <v>21</v>
      </c>
      <c r="H25" s="4"/>
      <c r="I25" s="4"/>
    </row>
    <row r="26" spans="1:9" ht="90.75" thickBot="1" x14ac:dyDescent="0.3">
      <c r="A26" s="5" t="s">
        <v>10</v>
      </c>
      <c r="B26" s="8">
        <v>43521</v>
      </c>
      <c r="C26" s="5" t="s">
        <v>64</v>
      </c>
      <c r="D26" s="5" t="s">
        <v>12</v>
      </c>
      <c r="E26" s="5" t="s">
        <v>47</v>
      </c>
      <c r="F26" s="6" t="s">
        <v>65</v>
      </c>
      <c r="G26" s="5" t="s">
        <v>10</v>
      </c>
      <c r="H26" s="4"/>
      <c r="I26" s="4"/>
    </row>
    <row r="27" spans="1:9" ht="90.75" thickBot="1" x14ac:dyDescent="0.3">
      <c r="A27" s="5" t="s">
        <v>10</v>
      </c>
      <c r="B27" s="8">
        <v>43882</v>
      </c>
      <c r="C27" s="5" t="s">
        <v>66</v>
      </c>
      <c r="D27" s="5" t="s">
        <v>7</v>
      </c>
      <c r="E27" s="5" t="s">
        <v>13</v>
      </c>
      <c r="F27" s="6" t="s">
        <v>67</v>
      </c>
      <c r="G27" s="5" t="s">
        <v>10</v>
      </c>
      <c r="H27" s="4"/>
      <c r="I27" s="4"/>
    </row>
    <row r="28" spans="1:9" ht="75.75" thickBot="1" x14ac:dyDescent="0.3">
      <c r="A28" s="5" t="s">
        <v>21</v>
      </c>
      <c r="B28" s="8">
        <v>43884</v>
      </c>
      <c r="C28" s="5" t="s">
        <v>68</v>
      </c>
      <c r="D28" s="5" t="s">
        <v>12</v>
      </c>
      <c r="E28" s="5" t="s">
        <v>41</v>
      </c>
      <c r="F28" s="6" t="s">
        <v>69</v>
      </c>
      <c r="G28" s="12" t="s">
        <v>21</v>
      </c>
      <c r="H28" s="4"/>
      <c r="I28" s="4"/>
    </row>
    <row r="29" spans="1:9" ht="60.75" thickBot="1" x14ac:dyDescent="0.3">
      <c r="A29" s="5" t="s">
        <v>27</v>
      </c>
      <c r="B29" s="8">
        <v>43868</v>
      </c>
      <c r="C29" s="5" t="s">
        <v>70</v>
      </c>
      <c r="D29" s="5" t="s">
        <v>7</v>
      </c>
      <c r="E29" s="5" t="s">
        <v>13</v>
      </c>
      <c r="F29" s="6" t="s">
        <v>71</v>
      </c>
      <c r="G29" s="12" t="s">
        <v>27</v>
      </c>
      <c r="H29" s="4"/>
      <c r="I29" s="4"/>
    </row>
    <row r="30" spans="1:9" ht="75.75" thickBot="1" x14ac:dyDescent="0.3">
      <c r="A30" s="5" t="s">
        <v>21</v>
      </c>
      <c r="B30" s="8">
        <v>44022</v>
      </c>
      <c r="C30" s="5" t="s">
        <v>70</v>
      </c>
      <c r="D30" s="5" t="s">
        <v>7</v>
      </c>
      <c r="E30" s="5" t="s">
        <v>13</v>
      </c>
      <c r="F30" s="6" t="s">
        <v>71</v>
      </c>
      <c r="G30" s="12" t="s">
        <v>21</v>
      </c>
      <c r="H30" s="4"/>
      <c r="I30" s="4"/>
    </row>
    <row r="31" spans="1:9" ht="75.75" thickBot="1" x14ac:dyDescent="0.3">
      <c r="A31" s="5" t="s">
        <v>21</v>
      </c>
      <c r="B31" s="8">
        <v>43543</v>
      </c>
      <c r="C31" s="5" t="s">
        <v>72</v>
      </c>
      <c r="D31" s="5" t="s">
        <v>7</v>
      </c>
      <c r="E31" s="5" t="s">
        <v>60</v>
      </c>
      <c r="F31" s="6" t="s">
        <v>73</v>
      </c>
      <c r="G31" s="12" t="s">
        <v>21</v>
      </c>
      <c r="H31" s="4"/>
      <c r="I31" s="4"/>
    </row>
    <row r="32" spans="1:9" ht="60.75" thickBot="1" x14ac:dyDescent="0.3">
      <c r="A32" s="5" t="s">
        <v>27</v>
      </c>
      <c r="B32" s="8">
        <v>43648</v>
      </c>
      <c r="C32" s="5" t="s">
        <v>74</v>
      </c>
      <c r="D32" s="5" t="s">
        <v>12</v>
      </c>
      <c r="E32" s="5" t="s">
        <v>44</v>
      </c>
      <c r="F32" s="6" t="s">
        <v>75</v>
      </c>
      <c r="G32" s="12" t="s">
        <v>27</v>
      </c>
      <c r="H32" s="4"/>
      <c r="I32" s="4"/>
    </row>
    <row r="33" spans="1:9" ht="90.75" thickBot="1" x14ac:dyDescent="0.3">
      <c r="A33" s="5" t="s">
        <v>10</v>
      </c>
      <c r="B33" s="8">
        <v>43573</v>
      </c>
      <c r="C33" s="5" t="s">
        <v>76</v>
      </c>
      <c r="D33" s="5" t="s">
        <v>12</v>
      </c>
      <c r="E33" s="5" t="s">
        <v>60</v>
      </c>
      <c r="F33" s="6" t="s">
        <v>77</v>
      </c>
      <c r="G33" s="5" t="s">
        <v>10</v>
      </c>
      <c r="H33" s="4"/>
      <c r="I33" s="4"/>
    </row>
    <row r="34" spans="1:9" ht="90.75" thickBot="1" x14ac:dyDescent="0.3">
      <c r="A34" s="5" t="s">
        <v>10</v>
      </c>
      <c r="B34" s="8">
        <v>43651</v>
      </c>
      <c r="C34" s="5" t="s">
        <v>78</v>
      </c>
      <c r="D34" s="5" t="s">
        <v>7</v>
      </c>
      <c r="E34" s="5" t="s">
        <v>19</v>
      </c>
      <c r="F34" s="6" t="s">
        <v>79</v>
      </c>
      <c r="G34" s="5" t="s">
        <v>10</v>
      </c>
      <c r="H34" s="4"/>
      <c r="I34" s="4"/>
    </row>
    <row r="35" spans="1:9" ht="90.75" thickBot="1" x14ac:dyDescent="0.3">
      <c r="A35" s="5" t="s">
        <v>10</v>
      </c>
      <c r="B35" s="8">
        <v>43540</v>
      </c>
      <c r="C35" s="5" t="s">
        <v>80</v>
      </c>
      <c r="D35" s="5" t="s">
        <v>12</v>
      </c>
      <c r="E35" s="5" t="s">
        <v>19</v>
      </c>
      <c r="F35" s="6" t="s">
        <v>81</v>
      </c>
      <c r="G35" s="5" t="s">
        <v>10</v>
      </c>
      <c r="H35" s="4"/>
      <c r="I35" s="4"/>
    </row>
    <row r="36" spans="1:9" ht="60.75" thickBot="1" x14ac:dyDescent="0.3">
      <c r="A36" s="5" t="s">
        <v>27</v>
      </c>
      <c r="B36" s="8">
        <v>43819</v>
      </c>
      <c r="C36" s="5" t="s">
        <v>82</v>
      </c>
      <c r="D36" s="5" t="s">
        <v>12</v>
      </c>
      <c r="E36" s="5" t="s">
        <v>41</v>
      </c>
      <c r="F36" s="6" t="s">
        <v>83</v>
      </c>
      <c r="G36" s="12" t="s">
        <v>27</v>
      </c>
      <c r="H36" s="4"/>
      <c r="I36" s="4"/>
    </row>
    <row r="37" spans="1:9" ht="90.75" thickBot="1" x14ac:dyDescent="0.3">
      <c r="A37" s="5" t="s">
        <v>10</v>
      </c>
      <c r="B37" s="8">
        <v>43958</v>
      </c>
      <c r="C37" s="5" t="s">
        <v>82</v>
      </c>
      <c r="D37" s="5" t="s">
        <v>12</v>
      </c>
      <c r="E37" s="5" t="s">
        <v>41</v>
      </c>
      <c r="F37" s="6" t="s">
        <v>83</v>
      </c>
      <c r="G37" s="5" t="s">
        <v>10</v>
      </c>
      <c r="H37" s="4"/>
      <c r="I37" s="4"/>
    </row>
    <row r="38" spans="1:9" ht="75.75" thickBot="1" x14ac:dyDescent="0.3">
      <c r="A38" s="5" t="s">
        <v>21</v>
      </c>
      <c r="B38" s="8">
        <v>43939</v>
      </c>
      <c r="C38" s="10" t="s">
        <v>84</v>
      </c>
      <c r="D38" s="11"/>
      <c r="E38" s="5" t="s">
        <v>19</v>
      </c>
      <c r="F38" s="6" t="s">
        <v>85</v>
      </c>
      <c r="G38" s="12" t="s">
        <v>21</v>
      </c>
      <c r="H38" s="4"/>
      <c r="I38" s="4"/>
    </row>
  </sheetData>
  <mergeCells count="1">
    <mergeCell ref="C38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6B36-B40C-4EE3-AD0F-96226ABCD4B6}">
  <dimension ref="A1:AJ107"/>
  <sheetViews>
    <sheetView tabSelected="1" topLeftCell="AC1" zoomScale="118" workbookViewId="0">
      <selection activeCell="AC6" sqref="AC6"/>
    </sheetView>
  </sheetViews>
  <sheetFormatPr defaultRowHeight="15" x14ac:dyDescent="0.25"/>
  <cols>
    <col min="1" max="1" width="9" bestFit="1" customWidth="1"/>
    <col min="2" max="3" width="14.85546875" customWidth="1"/>
    <col min="6" max="6" width="17" customWidth="1"/>
    <col min="7" max="7" width="13.28515625" customWidth="1"/>
    <col min="10" max="10" width="10.42578125" customWidth="1"/>
    <col min="11" max="11" width="15.42578125" customWidth="1"/>
    <col min="12" max="12" width="14.42578125" customWidth="1"/>
    <col min="13" max="13" width="11.28515625" customWidth="1"/>
    <col min="14" max="14" width="12.140625" customWidth="1"/>
    <col min="15" max="15" width="12.28515625" customWidth="1"/>
    <col min="16" max="16" width="24.85546875" customWidth="1"/>
    <col min="17" max="18" width="17.42578125" customWidth="1"/>
    <col min="19" max="19" width="15.42578125" customWidth="1"/>
    <col min="22" max="22" width="13.7109375" customWidth="1"/>
    <col min="23" max="23" width="11.28515625" customWidth="1"/>
    <col min="25" max="25" width="15" customWidth="1"/>
    <col min="26" max="26" width="19.140625" customWidth="1"/>
    <col min="27" max="27" width="18.42578125" customWidth="1"/>
    <col min="28" max="28" width="17.42578125" customWidth="1"/>
    <col min="29" max="29" width="17.85546875" customWidth="1"/>
    <col min="33" max="33" width="16.28515625" bestFit="1" customWidth="1"/>
    <col min="34" max="34" width="11" bestFit="1" customWidth="1"/>
  </cols>
  <sheetData>
    <row r="1" spans="1:36" ht="27" thickBot="1" x14ac:dyDescent="0.3">
      <c r="A1" s="4" t="s">
        <v>184</v>
      </c>
      <c r="B1" s="4" t="s">
        <v>185</v>
      </c>
      <c r="C1" s="4" t="s">
        <v>186</v>
      </c>
      <c r="D1" s="4" t="s">
        <v>187</v>
      </c>
      <c r="E1" s="4" t="s">
        <v>1</v>
      </c>
      <c r="F1" s="4" t="s">
        <v>188</v>
      </c>
      <c r="G1" s="4" t="s">
        <v>189</v>
      </c>
      <c r="H1" s="4" t="s">
        <v>190</v>
      </c>
      <c r="I1" s="4" t="s">
        <v>191</v>
      </c>
      <c r="J1" s="4" t="s">
        <v>192</v>
      </c>
      <c r="K1" s="4" t="s">
        <v>193</v>
      </c>
      <c r="L1" s="4" t="s">
        <v>194</v>
      </c>
      <c r="M1" s="4" t="s">
        <v>195</v>
      </c>
      <c r="N1" s="4" t="s">
        <v>196</v>
      </c>
      <c r="O1" s="4" t="s">
        <v>197</v>
      </c>
      <c r="P1" s="16" t="s">
        <v>371</v>
      </c>
      <c r="Q1" s="16" t="s">
        <v>372</v>
      </c>
      <c r="R1" s="16" t="s">
        <v>373</v>
      </c>
      <c r="S1" s="16" t="s">
        <v>374</v>
      </c>
      <c r="T1" s="16" t="s">
        <v>375</v>
      </c>
      <c r="U1" s="16" t="s">
        <v>376</v>
      </c>
      <c r="V1" s="16" t="s">
        <v>378</v>
      </c>
      <c r="W1" s="16" t="s">
        <v>379</v>
      </c>
      <c r="X1" s="16" t="s">
        <v>380</v>
      </c>
      <c r="Y1" s="16" t="s">
        <v>381</v>
      </c>
      <c r="Z1" s="16" t="s">
        <v>398</v>
      </c>
      <c r="AA1" s="18" t="s">
        <v>399</v>
      </c>
      <c r="AB1" s="19" t="s">
        <v>404</v>
      </c>
      <c r="AC1" s="19" t="s">
        <v>405</v>
      </c>
      <c r="AE1">
        <v>1800</v>
      </c>
      <c r="AF1">
        <f>MOD(AE1,11)</f>
        <v>7</v>
      </c>
      <c r="AG1" t="s">
        <v>408</v>
      </c>
    </row>
    <row r="2" spans="1:36" ht="17.25" thickBot="1" x14ac:dyDescent="0.35">
      <c r="A2" s="4" t="s">
        <v>198</v>
      </c>
      <c r="B2" s="4" t="s">
        <v>377</v>
      </c>
      <c r="C2" s="4" t="s">
        <v>199</v>
      </c>
      <c r="D2" s="13">
        <v>28</v>
      </c>
      <c r="E2" s="4" t="s">
        <v>7</v>
      </c>
      <c r="F2" s="4" t="s">
        <v>200</v>
      </c>
      <c r="G2" s="4" t="s">
        <v>201</v>
      </c>
      <c r="H2" s="13">
        <v>55000</v>
      </c>
      <c r="I2" s="13">
        <v>1</v>
      </c>
      <c r="J2" s="14">
        <v>46027</v>
      </c>
      <c r="K2" s="4" t="s">
        <v>202</v>
      </c>
      <c r="L2" s="13">
        <v>300000</v>
      </c>
      <c r="M2" s="13">
        <v>5</v>
      </c>
      <c r="N2" s="13">
        <v>9.5</v>
      </c>
      <c r="O2" s="4" t="s">
        <v>203</v>
      </c>
      <c r="P2" t="str">
        <f>LOWER(B2 )</f>
        <v>rahul   sharma</v>
      </c>
      <c r="Q2" t="str">
        <f>UPPER(P2)</f>
        <v>RAHUL   SHARMA</v>
      </c>
      <c r="R2" t="str">
        <f>PROPER(Q2)</f>
        <v>Rahul   Sharma</v>
      </c>
      <c r="S2" t="str">
        <f>LEFT(R2,6)</f>
        <v xml:space="preserve">Rahul </v>
      </c>
      <c r="T2" t="str">
        <f>RIGHT(R2,6)</f>
        <v>Sharma</v>
      </c>
      <c r="U2">
        <f>LEN(V2)</f>
        <v>12</v>
      </c>
      <c r="V2" t="str">
        <f>TRIM(B2)</f>
        <v>Rahul Sharma</v>
      </c>
      <c r="W2" t="s">
        <v>382</v>
      </c>
      <c r="X2" t="s">
        <v>383</v>
      </c>
      <c r="Y2" s="15" t="str">
        <f>_xlfn.CONCAT(W2,X2)</f>
        <v>ReyanshShah</v>
      </c>
      <c r="Z2" t="str">
        <f>MID(Y2,4,3)</f>
        <v>ans</v>
      </c>
      <c r="AA2">
        <f>FIND("@",AA1)</f>
        <v>4</v>
      </c>
      <c r="AB2">
        <f>SEARCH("a",Y2)</f>
        <v>4</v>
      </c>
      <c r="AC2">
        <v>2500.8769000000002</v>
      </c>
      <c r="AD2">
        <f>ROUND(AC2,2)</f>
        <v>2500.88</v>
      </c>
      <c r="AE2" t="s">
        <v>407</v>
      </c>
      <c r="AG2" s="20">
        <f ca="1">NOW()</f>
        <v>46271.825892592591</v>
      </c>
    </row>
    <row r="3" spans="1:36" ht="17.25" thickBot="1" x14ac:dyDescent="0.35">
      <c r="A3" s="4" t="s">
        <v>204</v>
      </c>
      <c r="B3" s="4" t="s">
        <v>205</v>
      </c>
      <c r="C3" s="4" t="s">
        <v>206</v>
      </c>
      <c r="D3" s="13">
        <v>32</v>
      </c>
      <c r="E3" s="4" t="s">
        <v>12</v>
      </c>
      <c r="F3" s="4" t="s">
        <v>207</v>
      </c>
      <c r="G3" s="4" t="s">
        <v>208</v>
      </c>
      <c r="H3" s="13">
        <v>2500</v>
      </c>
      <c r="I3" s="13">
        <v>2</v>
      </c>
      <c r="J3" s="14">
        <v>46029</v>
      </c>
      <c r="K3" s="4" t="s">
        <v>209</v>
      </c>
      <c r="L3" s="13">
        <v>150000</v>
      </c>
      <c r="M3" s="13">
        <v>3</v>
      </c>
      <c r="N3" s="13">
        <v>10.199999999999999</v>
      </c>
      <c r="O3" s="4" t="s">
        <v>203</v>
      </c>
      <c r="P3" t="str">
        <f t="shared" ref="P3:P51" si="0">LOWER(B3 )</f>
        <v>priya verma</v>
      </c>
      <c r="Q3" t="str">
        <f t="shared" ref="Q3:Q52" si="1">UPPER(P3)</f>
        <v>PRIYA VERMA</v>
      </c>
      <c r="R3" t="str">
        <f t="shared" ref="R3:R51" si="2">PROPER(Q3)</f>
        <v>Priya Verma</v>
      </c>
      <c r="S3" t="str">
        <f t="shared" ref="S3:S52" si="3">LEFT(R3,6)</f>
        <v xml:space="preserve">Priya </v>
      </c>
      <c r="T3" t="str">
        <f t="shared" ref="T3:T52" si="4">RIGHT(R3,6)</f>
        <v xml:space="preserve"> Verma</v>
      </c>
      <c r="U3">
        <f t="shared" ref="U3:U52" si="5">LEN(R3)</f>
        <v>11</v>
      </c>
      <c r="W3" t="s">
        <v>384</v>
      </c>
      <c r="X3" t="s">
        <v>383</v>
      </c>
      <c r="Y3" s="15" t="str">
        <f t="shared" ref="Y3:Y5" si="6">_xlfn.CONCAT(W3,X3)</f>
        <v>MehaaShah</v>
      </c>
      <c r="Z3" t="str">
        <f t="shared" ref="Z3:Z5" si="7">MID(Y3,4,3)</f>
        <v>aaS</v>
      </c>
      <c r="AC3">
        <f>ROUNDUP(AC2,1)</f>
        <v>2500.9</v>
      </c>
      <c r="AG3" s="7">
        <f ca="1">TODAY()</f>
        <v>46271</v>
      </c>
    </row>
    <row r="4" spans="1:36" ht="17.25" thickBot="1" x14ac:dyDescent="0.35">
      <c r="A4" s="4" t="s">
        <v>210</v>
      </c>
      <c r="B4" s="4" t="s">
        <v>211</v>
      </c>
      <c r="C4" s="4" t="s">
        <v>199</v>
      </c>
      <c r="D4" s="13">
        <v>41</v>
      </c>
      <c r="E4" s="4" t="s">
        <v>7</v>
      </c>
      <c r="F4" s="4" t="s">
        <v>212</v>
      </c>
      <c r="G4" s="4" t="s">
        <v>213</v>
      </c>
      <c r="H4" s="13">
        <v>4500</v>
      </c>
      <c r="I4" s="13">
        <v>4</v>
      </c>
      <c r="J4" s="14">
        <v>46032</v>
      </c>
      <c r="K4" s="4" t="s">
        <v>214</v>
      </c>
      <c r="L4" s="13">
        <v>500000</v>
      </c>
      <c r="M4" s="13">
        <v>7</v>
      </c>
      <c r="N4" s="13">
        <v>8.9</v>
      </c>
      <c r="O4" s="4" t="s">
        <v>203</v>
      </c>
      <c r="P4" t="str">
        <f t="shared" si="0"/>
        <v>amit kumar</v>
      </c>
      <c r="Q4" t="str">
        <f t="shared" si="1"/>
        <v>AMIT KUMAR</v>
      </c>
      <c r="R4" t="str">
        <f t="shared" si="2"/>
        <v>Amit Kumar</v>
      </c>
      <c r="S4" t="str">
        <f t="shared" si="3"/>
        <v>Amit K</v>
      </c>
      <c r="T4" t="str">
        <f t="shared" si="4"/>
        <v xml:space="preserve"> Kumar</v>
      </c>
      <c r="U4">
        <f t="shared" si="5"/>
        <v>10</v>
      </c>
      <c r="W4" t="s">
        <v>385</v>
      </c>
      <c r="X4" t="s">
        <v>388</v>
      </c>
      <c r="Y4" s="15" t="str">
        <f t="shared" si="6"/>
        <v>RishikaArora</v>
      </c>
      <c r="Z4" t="str">
        <f t="shared" si="7"/>
        <v>hik</v>
      </c>
      <c r="AC4">
        <f>ROUNDDOWN(AC2,1)</f>
        <v>2500.8000000000002</v>
      </c>
      <c r="AG4">
        <f ca="1">MONTH(AG3)</f>
        <v>9</v>
      </c>
    </row>
    <row r="5" spans="1:36" ht="17.25" thickBot="1" x14ac:dyDescent="0.35">
      <c r="A5" s="4" t="s">
        <v>370</v>
      </c>
      <c r="B5" s="4" t="s">
        <v>215</v>
      </c>
      <c r="C5" s="4" t="s">
        <v>216</v>
      </c>
      <c r="D5" s="13">
        <v>26</v>
      </c>
      <c r="E5" s="4" t="s">
        <v>12</v>
      </c>
      <c r="F5" s="4" t="s">
        <v>200</v>
      </c>
      <c r="G5" s="4" t="s">
        <v>217</v>
      </c>
      <c r="H5" s="13">
        <v>1800</v>
      </c>
      <c r="I5" s="13">
        <v>1</v>
      </c>
      <c r="J5" s="14">
        <v>46034</v>
      </c>
      <c r="K5" s="4" t="s">
        <v>202</v>
      </c>
      <c r="L5" s="13">
        <v>100000</v>
      </c>
      <c r="M5" s="13">
        <v>2</v>
      </c>
      <c r="N5" s="13">
        <v>11.5</v>
      </c>
      <c r="O5" s="4" t="s">
        <v>218</v>
      </c>
      <c r="P5" t="str">
        <f t="shared" si="0"/>
        <v>neha singh</v>
      </c>
      <c r="Q5" t="str">
        <f t="shared" si="1"/>
        <v>NEHA SINGH</v>
      </c>
      <c r="R5" t="str">
        <f t="shared" si="2"/>
        <v>Neha Singh</v>
      </c>
      <c r="S5" t="str">
        <f t="shared" si="3"/>
        <v>Neha S</v>
      </c>
      <c r="T5" t="str">
        <f t="shared" si="4"/>
        <v xml:space="preserve"> Singh</v>
      </c>
      <c r="U5">
        <f t="shared" si="5"/>
        <v>10</v>
      </c>
      <c r="W5" t="s">
        <v>386</v>
      </c>
      <c r="X5" t="s">
        <v>387</v>
      </c>
      <c r="Y5" s="15" t="str">
        <f t="shared" si="6"/>
        <v>SaumilModh</v>
      </c>
      <c r="Z5" t="str">
        <f t="shared" si="7"/>
        <v>mil</v>
      </c>
    </row>
    <row r="6" spans="1:36" ht="15.75" thickBot="1" x14ac:dyDescent="0.3">
      <c r="A6" s="4" t="s">
        <v>219</v>
      </c>
      <c r="B6" s="4" t="s">
        <v>220</v>
      </c>
      <c r="C6" s="4" t="s">
        <v>221</v>
      </c>
      <c r="D6" s="13">
        <v>35</v>
      </c>
      <c r="E6" s="4" t="s">
        <v>7</v>
      </c>
      <c r="F6" s="4" t="s">
        <v>200</v>
      </c>
      <c r="G6" s="4" t="s">
        <v>222</v>
      </c>
      <c r="H6" s="13">
        <v>22000</v>
      </c>
      <c r="I6" s="13">
        <v>1</v>
      </c>
      <c r="J6" s="14">
        <v>46037</v>
      </c>
      <c r="K6" s="4" t="s">
        <v>209</v>
      </c>
      <c r="L6" s="13">
        <v>250000</v>
      </c>
      <c r="M6" s="13">
        <v>4</v>
      </c>
      <c r="N6" s="13">
        <v>9.8000000000000007</v>
      </c>
      <c r="O6" s="4" t="s">
        <v>203</v>
      </c>
      <c r="P6" t="str">
        <f t="shared" si="0"/>
        <v>rohit gupta</v>
      </c>
      <c r="Q6" t="str">
        <f t="shared" si="1"/>
        <v>ROHIT GUPTA</v>
      </c>
      <c r="R6" t="str">
        <f t="shared" si="2"/>
        <v>Rohit Gupta</v>
      </c>
      <c r="S6" t="str">
        <f t="shared" si="3"/>
        <v xml:space="preserve">Rohit </v>
      </c>
      <c r="T6" t="str">
        <f t="shared" si="4"/>
        <v xml:space="preserve"> Gupta</v>
      </c>
      <c r="U6">
        <f t="shared" si="5"/>
        <v>11</v>
      </c>
      <c r="AC6">
        <v>-45</v>
      </c>
    </row>
    <row r="7" spans="1:36" ht="15.75" thickBot="1" x14ac:dyDescent="0.3">
      <c r="A7" s="4" t="s">
        <v>223</v>
      </c>
      <c r="B7" s="4" t="s">
        <v>224</v>
      </c>
      <c r="C7" s="4" t="s">
        <v>225</v>
      </c>
      <c r="D7" s="13">
        <v>29</v>
      </c>
      <c r="E7" s="4" t="s">
        <v>12</v>
      </c>
      <c r="F7" s="4" t="s">
        <v>226</v>
      </c>
      <c r="G7" s="4" t="s">
        <v>227</v>
      </c>
      <c r="H7" s="13">
        <v>3200</v>
      </c>
      <c r="I7" s="13">
        <v>3</v>
      </c>
      <c r="J7" s="14">
        <v>46040</v>
      </c>
      <c r="K7" s="4" t="s">
        <v>202</v>
      </c>
      <c r="L7" s="13">
        <v>180000</v>
      </c>
      <c r="M7" s="13">
        <v>3</v>
      </c>
      <c r="N7" s="13">
        <v>10.5</v>
      </c>
      <c r="O7" s="4" t="s">
        <v>203</v>
      </c>
      <c r="P7" t="str">
        <f t="shared" si="0"/>
        <v>anjali mehta</v>
      </c>
      <c r="Q7" t="str">
        <f t="shared" si="1"/>
        <v>ANJALI MEHTA</v>
      </c>
      <c r="R7" t="str">
        <f t="shared" si="2"/>
        <v>Anjali Mehta</v>
      </c>
      <c r="S7" t="str">
        <f t="shared" si="3"/>
        <v>Anjali</v>
      </c>
      <c r="T7" t="str">
        <f t="shared" si="4"/>
        <v xml:space="preserve"> Mehta</v>
      </c>
      <c r="U7">
        <f t="shared" si="5"/>
        <v>12</v>
      </c>
      <c r="AC7">
        <f>ABS(AC6)</f>
        <v>45</v>
      </c>
    </row>
    <row r="8" spans="1:36" ht="15.75" thickBot="1" x14ac:dyDescent="0.3">
      <c r="A8" s="4" t="s">
        <v>228</v>
      </c>
      <c r="B8" s="4" t="s">
        <v>229</v>
      </c>
      <c r="C8" s="4" t="s">
        <v>230</v>
      </c>
      <c r="D8" s="13">
        <v>45</v>
      </c>
      <c r="E8" s="4" t="s">
        <v>7</v>
      </c>
      <c r="F8" s="4" t="s">
        <v>231</v>
      </c>
      <c r="G8" s="4" t="s">
        <v>232</v>
      </c>
      <c r="H8" s="13">
        <v>1200</v>
      </c>
      <c r="I8" s="13">
        <v>5</v>
      </c>
      <c r="J8" s="14">
        <v>46042</v>
      </c>
      <c r="K8" s="4" t="s">
        <v>233</v>
      </c>
      <c r="L8" s="13">
        <v>400000</v>
      </c>
      <c r="M8" s="13">
        <v>6</v>
      </c>
      <c r="N8" s="13">
        <v>9.1999999999999993</v>
      </c>
      <c r="O8" s="4" t="s">
        <v>203</v>
      </c>
      <c r="P8" t="str">
        <f t="shared" si="0"/>
        <v>vikas yadav</v>
      </c>
      <c r="Q8" t="str">
        <f t="shared" si="1"/>
        <v>VIKAS YADAV</v>
      </c>
      <c r="R8" t="str">
        <f t="shared" si="2"/>
        <v>Vikas Yadav</v>
      </c>
      <c r="S8" t="str">
        <f t="shared" si="3"/>
        <v xml:space="preserve">Vikas </v>
      </c>
      <c r="T8" t="str">
        <f t="shared" si="4"/>
        <v xml:space="preserve"> Yadav</v>
      </c>
      <c r="U8">
        <f t="shared" si="5"/>
        <v>11</v>
      </c>
    </row>
    <row r="9" spans="1:36" ht="15.75" thickBot="1" x14ac:dyDescent="0.3">
      <c r="A9" s="4" t="s">
        <v>234</v>
      </c>
      <c r="B9" s="4" t="s">
        <v>235</v>
      </c>
      <c r="C9" s="4" t="s">
        <v>199</v>
      </c>
      <c r="D9" s="13">
        <v>31</v>
      </c>
      <c r="E9" s="4" t="s">
        <v>12</v>
      </c>
      <c r="F9" s="4" t="s">
        <v>207</v>
      </c>
      <c r="G9" s="4" t="s">
        <v>236</v>
      </c>
      <c r="H9" s="13">
        <v>3500</v>
      </c>
      <c r="I9" s="13">
        <v>2</v>
      </c>
      <c r="J9" s="14">
        <v>46044</v>
      </c>
      <c r="K9" s="4" t="s">
        <v>202</v>
      </c>
      <c r="L9" s="13">
        <v>200000</v>
      </c>
      <c r="M9" s="13">
        <v>4</v>
      </c>
      <c r="N9" s="13">
        <v>10</v>
      </c>
      <c r="O9" s="4" t="s">
        <v>203</v>
      </c>
      <c r="P9" t="str">
        <f t="shared" si="0"/>
        <v>pooja sharma</v>
      </c>
      <c r="Q9" t="str">
        <f t="shared" si="1"/>
        <v>POOJA SHARMA</v>
      </c>
      <c r="R9" t="str">
        <f t="shared" si="2"/>
        <v>Pooja Sharma</v>
      </c>
      <c r="S9" t="str">
        <f t="shared" si="3"/>
        <v xml:space="preserve">Pooja </v>
      </c>
      <c r="T9" t="str">
        <f t="shared" si="4"/>
        <v>Sharma</v>
      </c>
      <c r="U9">
        <f t="shared" si="5"/>
        <v>12</v>
      </c>
    </row>
    <row r="10" spans="1:36" ht="15.75" thickBot="1" x14ac:dyDescent="0.3">
      <c r="A10" s="4" t="s">
        <v>237</v>
      </c>
      <c r="B10" s="4" t="s">
        <v>238</v>
      </c>
      <c r="C10" s="4" t="s">
        <v>239</v>
      </c>
      <c r="D10" s="13">
        <v>38</v>
      </c>
      <c r="E10" s="4" t="s">
        <v>7</v>
      </c>
      <c r="F10" s="4" t="s">
        <v>200</v>
      </c>
      <c r="G10" s="4" t="s">
        <v>240</v>
      </c>
      <c r="H10" s="13">
        <v>18000</v>
      </c>
      <c r="I10" s="13">
        <v>1</v>
      </c>
      <c r="J10" s="14">
        <v>46047</v>
      </c>
      <c r="K10" s="4" t="s">
        <v>214</v>
      </c>
      <c r="L10" s="13">
        <v>350000</v>
      </c>
      <c r="M10" s="13">
        <v>5</v>
      </c>
      <c r="N10" s="13">
        <v>9.6999999999999993</v>
      </c>
      <c r="O10" s="4" t="s">
        <v>203</v>
      </c>
      <c r="P10" t="str">
        <f t="shared" si="0"/>
        <v>suresh patel</v>
      </c>
      <c r="Q10" t="str">
        <f t="shared" si="1"/>
        <v>SURESH PATEL</v>
      </c>
      <c r="R10" t="str">
        <f t="shared" si="2"/>
        <v>Suresh Patel</v>
      </c>
      <c r="S10" t="str">
        <f t="shared" si="3"/>
        <v>Suresh</v>
      </c>
      <c r="T10" t="str">
        <f t="shared" si="4"/>
        <v xml:space="preserve"> Patel</v>
      </c>
      <c r="U10">
        <f t="shared" si="5"/>
        <v>12</v>
      </c>
      <c r="V10" s="4"/>
      <c r="W10" t="s">
        <v>0</v>
      </c>
      <c r="X10" t="s">
        <v>390</v>
      </c>
      <c r="Y10" t="s">
        <v>392</v>
      </c>
      <c r="Z10" t="s">
        <v>394</v>
      </c>
      <c r="AA10" t="s">
        <v>395</v>
      </c>
      <c r="AH10" t="s">
        <v>409</v>
      </c>
      <c r="AI10" t="s">
        <v>410</v>
      </c>
      <c r="AJ10" t="s">
        <v>412</v>
      </c>
    </row>
    <row r="11" spans="1:36" ht="15.75" thickBot="1" x14ac:dyDescent="0.3">
      <c r="A11" s="4" t="s">
        <v>241</v>
      </c>
      <c r="B11" s="4" t="s">
        <v>242</v>
      </c>
      <c r="C11" s="4" t="s">
        <v>243</v>
      </c>
      <c r="D11" s="13">
        <v>27</v>
      </c>
      <c r="E11" s="4" t="s">
        <v>12</v>
      </c>
      <c r="F11" s="4" t="s">
        <v>244</v>
      </c>
      <c r="G11" s="4" t="s">
        <v>245</v>
      </c>
      <c r="H11" s="13">
        <v>4500</v>
      </c>
      <c r="I11" s="13">
        <v>1</v>
      </c>
      <c r="J11" s="14">
        <v>46050</v>
      </c>
      <c r="K11" s="4" t="s">
        <v>209</v>
      </c>
      <c r="L11" s="13">
        <v>120000</v>
      </c>
      <c r="M11" s="13">
        <v>2</v>
      </c>
      <c r="N11" s="13">
        <v>11.2</v>
      </c>
      <c r="O11" s="4" t="s">
        <v>218</v>
      </c>
      <c r="P11" t="str">
        <f t="shared" si="0"/>
        <v>kavita rao</v>
      </c>
      <c r="Q11" t="str">
        <f t="shared" si="1"/>
        <v>KAVITA RAO</v>
      </c>
      <c r="R11" t="str">
        <f t="shared" si="2"/>
        <v>Kavita Rao</v>
      </c>
      <c r="S11" t="str">
        <f t="shared" si="3"/>
        <v>Kavita</v>
      </c>
      <c r="T11" t="str">
        <f t="shared" si="4"/>
        <v>ta Rao</v>
      </c>
      <c r="U11">
        <f t="shared" si="5"/>
        <v>10</v>
      </c>
      <c r="V11" s="4"/>
      <c r="W11" t="s">
        <v>389</v>
      </c>
      <c r="X11" t="s">
        <v>391</v>
      </c>
      <c r="Y11">
        <v>110043</v>
      </c>
      <c r="Z11" s="17" t="s">
        <v>393</v>
      </c>
      <c r="AA11" t="s">
        <v>397</v>
      </c>
      <c r="AG11" s="7">
        <v>44083</v>
      </c>
      <c r="AH11">
        <f>MONTH(AG11)</f>
        <v>9</v>
      </c>
      <c r="AI11">
        <f>DAY(AG11)</f>
        <v>9</v>
      </c>
      <c r="AJ11">
        <f>YEAR(AG11)</f>
        <v>2020</v>
      </c>
    </row>
    <row r="12" spans="1:36" ht="15.75" thickBot="1" x14ac:dyDescent="0.3">
      <c r="A12" s="4" t="s">
        <v>246</v>
      </c>
      <c r="B12" s="4" t="s">
        <v>247</v>
      </c>
      <c r="C12" s="4" t="s">
        <v>199</v>
      </c>
      <c r="D12" s="13">
        <v>33</v>
      </c>
      <c r="E12" s="4" t="s">
        <v>7</v>
      </c>
      <c r="F12" s="4" t="s">
        <v>200</v>
      </c>
      <c r="G12" s="4" t="s">
        <v>248</v>
      </c>
      <c r="H12" s="13">
        <v>15000</v>
      </c>
      <c r="I12" s="13">
        <v>2</v>
      </c>
      <c r="J12" s="14">
        <v>46055</v>
      </c>
      <c r="K12" s="4" t="s">
        <v>202</v>
      </c>
      <c r="L12" s="13">
        <v>275000</v>
      </c>
      <c r="M12" s="13">
        <v>5</v>
      </c>
      <c r="N12" s="13">
        <v>9.6</v>
      </c>
      <c r="O12" s="4" t="s">
        <v>203</v>
      </c>
      <c r="P12" t="str">
        <f t="shared" si="0"/>
        <v>arjun malhotra</v>
      </c>
      <c r="Q12" t="str">
        <f t="shared" si="1"/>
        <v>ARJUN MALHOTRA</v>
      </c>
      <c r="R12" t="str">
        <f t="shared" si="2"/>
        <v>Arjun Malhotra</v>
      </c>
      <c r="S12" t="str">
        <f t="shared" si="3"/>
        <v xml:space="preserve">Arjun </v>
      </c>
      <c r="T12" t="str">
        <f t="shared" si="4"/>
        <v>lhotra</v>
      </c>
      <c r="U12">
        <f t="shared" si="5"/>
        <v>14</v>
      </c>
      <c r="V12" s="4"/>
      <c r="AG12" s="7">
        <v>44083</v>
      </c>
      <c r="AH12">
        <f t="shared" ref="AH12:AH18" si="8">MONTH(AG12)</f>
        <v>9</v>
      </c>
      <c r="AI12">
        <f t="shared" ref="AI12:AI18" si="9">DAY(AG12)</f>
        <v>9</v>
      </c>
      <c r="AJ12">
        <f t="shared" ref="AJ12:AJ18" si="10">YEAR(AG12)</f>
        <v>2020</v>
      </c>
    </row>
    <row r="13" spans="1:36" ht="17.25" thickBot="1" x14ac:dyDescent="0.35">
      <c r="A13" s="4" t="s">
        <v>249</v>
      </c>
      <c r="B13" s="4" t="s">
        <v>250</v>
      </c>
      <c r="C13" s="4" t="s">
        <v>251</v>
      </c>
      <c r="D13" s="13">
        <v>30</v>
      </c>
      <c r="E13" s="4" t="s">
        <v>12</v>
      </c>
      <c r="F13" s="4" t="s">
        <v>207</v>
      </c>
      <c r="G13" s="4" t="s">
        <v>252</v>
      </c>
      <c r="H13" s="13">
        <v>2800</v>
      </c>
      <c r="I13" s="13">
        <v>2</v>
      </c>
      <c r="J13" s="14">
        <v>46057</v>
      </c>
      <c r="K13" s="4" t="s">
        <v>202</v>
      </c>
      <c r="L13" s="13">
        <v>160000</v>
      </c>
      <c r="M13" s="13">
        <v>3</v>
      </c>
      <c r="N13" s="13">
        <v>10.4</v>
      </c>
      <c r="O13" s="4" t="s">
        <v>203</v>
      </c>
      <c r="P13" t="str">
        <f t="shared" si="0"/>
        <v>simran kaur</v>
      </c>
      <c r="Q13" t="str">
        <f t="shared" si="1"/>
        <v>SIMRAN KAUR</v>
      </c>
      <c r="R13" t="str">
        <f t="shared" si="2"/>
        <v>Simran Kaur</v>
      </c>
      <c r="S13" t="str">
        <f t="shared" si="3"/>
        <v>Simran</v>
      </c>
      <c r="T13" t="str">
        <f t="shared" si="4"/>
        <v>n Kaur</v>
      </c>
      <c r="U13">
        <f t="shared" si="5"/>
        <v>11</v>
      </c>
      <c r="V13" s="4"/>
      <c r="Y13" s="15" t="s">
        <v>396</v>
      </c>
      <c r="AG13" s="7">
        <v>36879</v>
      </c>
      <c r="AH13">
        <f t="shared" si="8"/>
        <v>12</v>
      </c>
      <c r="AI13">
        <f t="shared" si="9"/>
        <v>19</v>
      </c>
      <c r="AJ13">
        <f t="shared" si="10"/>
        <v>2000</v>
      </c>
    </row>
    <row r="14" spans="1:36" ht="15.75" thickBot="1" x14ac:dyDescent="0.3">
      <c r="A14" s="4" t="s">
        <v>253</v>
      </c>
      <c r="B14" s="4" t="s">
        <v>254</v>
      </c>
      <c r="C14" s="4" t="s">
        <v>230</v>
      </c>
      <c r="D14" s="13">
        <v>42</v>
      </c>
      <c r="E14" s="4" t="s">
        <v>7</v>
      </c>
      <c r="F14" s="4" t="s">
        <v>212</v>
      </c>
      <c r="G14" s="4" t="s">
        <v>255</v>
      </c>
      <c r="H14" s="13">
        <v>12000</v>
      </c>
      <c r="I14" s="13">
        <v>1</v>
      </c>
      <c r="J14" s="14">
        <v>46059</v>
      </c>
      <c r="K14" s="4" t="s">
        <v>214</v>
      </c>
      <c r="L14" s="13">
        <v>450000</v>
      </c>
      <c r="M14" s="13">
        <v>7</v>
      </c>
      <c r="N14" s="13">
        <v>8.8000000000000007</v>
      </c>
      <c r="O14" s="4" t="s">
        <v>203</v>
      </c>
      <c r="P14" t="str">
        <f t="shared" si="0"/>
        <v>manish jain</v>
      </c>
      <c r="Q14" t="str">
        <f t="shared" si="1"/>
        <v>MANISH JAIN</v>
      </c>
      <c r="R14" t="str">
        <f t="shared" si="2"/>
        <v>Manish Jain</v>
      </c>
      <c r="S14" t="str">
        <f t="shared" si="3"/>
        <v>Manish</v>
      </c>
      <c r="T14" t="str">
        <f t="shared" si="4"/>
        <v>h Jain</v>
      </c>
      <c r="U14">
        <f t="shared" si="5"/>
        <v>11</v>
      </c>
      <c r="V14" s="4"/>
      <c r="AG14" s="7">
        <v>40249</v>
      </c>
      <c r="AH14">
        <f t="shared" si="8"/>
        <v>3</v>
      </c>
      <c r="AI14">
        <f t="shared" si="9"/>
        <v>12</v>
      </c>
      <c r="AJ14">
        <f t="shared" si="10"/>
        <v>2010</v>
      </c>
    </row>
    <row r="15" spans="1:36" ht="15.75" thickBot="1" x14ac:dyDescent="0.3">
      <c r="A15" s="4" t="s">
        <v>256</v>
      </c>
      <c r="B15" s="4" t="s">
        <v>257</v>
      </c>
      <c r="C15" s="4" t="s">
        <v>199</v>
      </c>
      <c r="D15" s="13">
        <v>24</v>
      </c>
      <c r="E15" s="4" t="s">
        <v>12</v>
      </c>
      <c r="F15" s="4" t="s">
        <v>226</v>
      </c>
      <c r="G15" s="4" t="s">
        <v>258</v>
      </c>
      <c r="H15" s="13">
        <v>2200</v>
      </c>
      <c r="I15" s="13">
        <v>2</v>
      </c>
      <c r="J15" s="14">
        <v>46061</v>
      </c>
      <c r="K15" s="4" t="s">
        <v>209</v>
      </c>
      <c r="L15" s="13">
        <v>80000</v>
      </c>
      <c r="M15" s="13">
        <v>2</v>
      </c>
      <c r="N15" s="13">
        <v>12</v>
      </c>
      <c r="O15" s="4" t="s">
        <v>218</v>
      </c>
      <c r="P15" t="str">
        <f t="shared" si="0"/>
        <v>riya kapoor</v>
      </c>
      <c r="Q15" t="str">
        <f t="shared" si="1"/>
        <v>RIYA KAPOOR</v>
      </c>
      <c r="R15" t="str">
        <f t="shared" si="2"/>
        <v>Riya Kapoor</v>
      </c>
      <c r="S15" t="str">
        <f t="shared" si="3"/>
        <v>Riya K</v>
      </c>
      <c r="T15" t="str">
        <f t="shared" si="4"/>
        <v>Kapoor</v>
      </c>
      <c r="U15">
        <f t="shared" si="5"/>
        <v>11</v>
      </c>
      <c r="V15" s="4"/>
      <c r="AG15" s="7">
        <v>41038</v>
      </c>
      <c r="AH15">
        <f t="shared" si="8"/>
        <v>5</v>
      </c>
      <c r="AI15">
        <f t="shared" si="9"/>
        <v>9</v>
      </c>
      <c r="AJ15">
        <f t="shared" si="10"/>
        <v>2012</v>
      </c>
    </row>
    <row r="16" spans="1:36" ht="15.75" thickBot="1" x14ac:dyDescent="0.3">
      <c r="A16" s="4" t="s">
        <v>259</v>
      </c>
      <c r="B16" s="4" t="s">
        <v>260</v>
      </c>
      <c r="C16" s="4" t="s">
        <v>261</v>
      </c>
      <c r="D16" s="13">
        <v>39</v>
      </c>
      <c r="E16" s="4" t="s">
        <v>7</v>
      </c>
      <c r="F16" s="4" t="s">
        <v>200</v>
      </c>
      <c r="G16" s="4" t="s">
        <v>262</v>
      </c>
      <c r="H16" s="13">
        <v>32000</v>
      </c>
      <c r="I16" s="13">
        <v>1</v>
      </c>
      <c r="J16" s="14">
        <v>46063</v>
      </c>
      <c r="K16" s="4" t="s">
        <v>202</v>
      </c>
      <c r="L16" s="13">
        <v>300000</v>
      </c>
      <c r="M16" s="13">
        <v>5</v>
      </c>
      <c r="N16" s="13">
        <v>9.9</v>
      </c>
      <c r="O16" s="4" t="s">
        <v>203</v>
      </c>
      <c r="P16" t="str">
        <f t="shared" si="0"/>
        <v>deepak verma</v>
      </c>
      <c r="Q16" t="str">
        <f t="shared" si="1"/>
        <v>DEEPAK VERMA</v>
      </c>
      <c r="R16" t="str">
        <f t="shared" si="2"/>
        <v>Deepak Verma</v>
      </c>
      <c r="S16" t="str">
        <f t="shared" si="3"/>
        <v>Deepak</v>
      </c>
      <c r="T16" t="str">
        <f t="shared" si="4"/>
        <v xml:space="preserve"> Verma</v>
      </c>
      <c r="U16">
        <f t="shared" si="5"/>
        <v>12</v>
      </c>
      <c r="X16" t="s">
        <v>401</v>
      </c>
      <c r="AG16" s="7">
        <v>44083</v>
      </c>
      <c r="AH16">
        <f t="shared" si="8"/>
        <v>9</v>
      </c>
      <c r="AI16">
        <f t="shared" si="9"/>
        <v>9</v>
      </c>
      <c r="AJ16">
        <f t="shared" si="10"/>
        <v>2020</v>
      </c>
    </row>
    <row r="17" spans="1:36" ht="30.75" thickBot="1" x14ac:dyDescent="0.3">
      <c r="A17" s="4" t="s">
        <v>263</v>
      </c>
      <c r="B17" s="4" t="s">
        <v>264</v>
      </c>
      <c r="C17" s="4" t="s">
        <v>265</v>
      </c>
      <c r="D17" s="13">
        <v>28</v>
      </c>
      <c r="E17" s="4" t="s">
        <v>12</v>
      </c>
      <c r="F17" s="4" t="s">
        <v>231</v>
      </c>
      <c r="G17" s="4" t="s">
        <v>266</v>
      </c>
      <c r="H17" s="13">
        <v>850</v>
      </c>
      <c r="I17" s="13">
        <v>4</v>
      </c>
      <c r="J17" s="14">
        <v>46065</v>
      </c>
      <c r="K17" s="4" t="s">
        <v>202</v>
      </c>
      <c r="L17" s="13">
        <v>175000</v>
      </c>
      <c r="M17" s="13">
        <v>3</v>
      </c>
      <c r="N17" s="13">
        <v>10.1</v>
      </c>
      <c r="O17" s="4" t="s">
        <v>203</v>
      </c>
      <c r="P17" t="str">
        <f t="shared" si="0"/>
        <v>sneha iyer</v>
      </c>
      <c r="Q17" t="str">
        <f t="shared" si="1"/>
        <v>SNEHA IYER</v>
      </c>
      <c r="R17" t="str">
        <f t="shared" si="2"/>
        <v>Sneha Iyer</v>
      </c>
      <c r="S17" t="str">
        <f t="shared" si="3"/>
        <v xml:space="preserve">Sneha </v>
      </c>
      <c r="T17" t="str">
        <f t="shared" si="4"/>
        <v>a Iyer</v>
      </c>
      <c r="U17">
        <f t="shared" si="5"/>
        <v>10</v>
      </c>
      <c r="W17" t="s">
        <v>400</v>
      </c>
      <c r="X17" s="18" t="s">
        <v>399</v>
      </c>
      <c r="AG17" s="7">
        <v>43902</v>
      </c>
      <c r="AH17">
        <f t="shared" si="8"/>
        <v>3</v>
      </c>
      <c r="AI17">
        <f t="shared" si="9"/>
        <v>12</v>
      </c>
      <c r="AJ17">
        <f t="shared" si="10"/>
        <v>2020</v>
      </c>
    </row>
    <row r="18" spans="1:36" ht="15.75" thickBot="1" x14ac:dyDescent="0.3">
      <c r="A18" s="4" t="s">
        <v>267</v>
      </c>
      <c r="B18" s="4" t="s">
        <v>268</v>
      </c>
      <c r="C18" s="4" t="s">
        <v>216</v>
      </c>
      <c r="D18" s="13">
        <v>36</v>
      </c>
      <c r="E18" s="4" t="s">
        <v>7</v>
      </c>
      <c r="F18" s="4" t="s">
        <v>212</v>
      </c>
      <c r="G18" s="4" t="s">
        <v>269</v>
      </c>
      <c r="H18" s="13">
        <v>28000</v>
      </c>
      <c r="I18" s="13">
        <v>1</v>
      </c>
      <c r="J18" s="14">
        <v>46068</v>
      </c>
      <c r="K18" s="4" t="s">
        <v>209</v>
      </c>
      <c r="L18" s="13">
        <v>550000</v>
      </c>
      <c r="M18" s="13">
        <v>8</v>
      </c>
      <c r="N18" s="13">
        <v>8.6999999999999993</v>
      </c>
      <c r="O18" s="4" t="s">
        <v>203</v>
      </c>
      <c r="P18" t="str">
        <f t="shared" si="0"/>
        <v>karan singh</v>
      </c>
      <c r="Q18" t="str">
        <f t="shared" si="1"/>
        <v>KARAN SINGH</v>
      </c>
      <c r="R18" t="str">
        <f t="shared" si="2"/>
        <v>Karan Singh</v>
      </c>
      <c r="S18" t="str">
        <f t="shared" si="3"/>
        <v xml:space="preserve">Karan </v>
      </c>
      <c r="T18" t="str">
        <f t="shared" si="4"/>
        <v xml:space="preserve"> Singh</v>
      </c>
      <c r="U18">
        <f t="shared" si="5"/>
        <v>11</v>
      </c>
      <c r="W18" t="s">
        <v>402</v>
      </c>
      <c r="X18" s="17" t="s">
        <v>403</v>
      </c>
      <c r="AB18" t="s">
        <v>184</v>
      </c>
      <c r="AC18" t="s">
        <v>193</v>
      </c>
      <c r="AD18" t="s">
        <v>194</v>
      </c>
      <c r="AG18" s="7">
        <v>153442</v>
      </c>
      <c r="AH18">
        <f t="shared" si="8"/>
        <v>2</v>
      </c>
      <c r="AI18">
        <f t="shared" si="9"/>
        <v>9</v>
      </c>
      <c r="AJ18">
        <f t="shared" si="10"/>
        <v>2320</v>
      </c>
    </row>
    <row r="19" spans="1:36" ht="17.25" thickBot="1" x14ac:dyDescent="0.35">
      <c r="A19" s="4" t="s">
        <v>270</v>
      </c>
      <c r="B19" s="4" t="s">
        <v>271</v>
      </c>
      <c r="C19" s="4" t="s">
        <v>225</v>
      </c>
      <c r="D19" s="13">
        <v>44</v>
      </c>
      <c r="E19" s="4" t="s">
        <v>12</v>
      </c>
      <c r="F19" s="4" t="s">
        <v>207</v>
      </c>
      <c r="G19" s="4" t="s">
        <v>272</v>
      </c>
      <c r="H19" s="13">
        <v>4200</v>
      </c>
      <c r="I19" s="13">
        <v>2</v>
      </c>
      <c r="J19" s="14">
        <v>46070</v>
      </c>
      <c r="K19" s="4" t="s">
        <v>214</v>
      </c>
      <c r="L19" s="13">
        <v>225000</v>
      </c>
      <c r="M19" s="13">
        <v>5</v>
      </c>
      <c r="N19" s="13">
        <v>9.8000000000000007</v>
      </c>
      <c r="O19" s="4" t="s">
        <v>203</v>
      </c>
      <c r="P19" t="str">
        <f t="shared" si="0"/>
        <v>meena joshi</v>
      </c>
      <c r="Q19" t="str">
        <f t="shared" si="1"/>
        <v>MEENA JOSHI</v>
      </c>
      <c r="R19" t="str">
        <f t="shared" si="2"/>
        <v>Meena Joshi</v>
      </c>
      <c r="S19" t="str">
        <f t="shared" si="3"/>
        <v xml:space="preserve">Meena </v>
      </c>
      <c r="T19" t="str">
        <f t="shared" si="4"/>
        <v xml:space="preserve"> Joshi</v>
      </c>
      <c r="U19">
        <f t="shared" si="5"/>
        <v>11</v>
      </c>
      <c r="W19" s="15"/>
      <c r="AB19" s="4" t="s">
        <v>253</v>
      </c>
      <c r="AC19" t="str">
        <f>VLOOKUP(AB19,$A$1:$O$51,11,FALSE)</f>
        <v>Net Banking</v>
      </c>
      <c r="AD19">
        <f>INDEX($L1:$L51,MATCH(AB19,$A1:$A51,0))</f>
        <v>450000</v>
      </c>
    </row>
    <row r="20" spans="1:36" ht="15.75" thickBot="1" x14ac:dyDescent="0.3">
      <c r="A20" s="4" t="s">
        <v>273</v>
      </c>
      <c r="B20" s="4" t="s">
        <v>274</v>
      </c>
      <c r="C20" s="4" t="s">
        <v>199</v>
      </c>
      <c r="D20" s="13">
        <v>51</v>
      </c>
      <c r="E20" s="4" t="s">
        <v>7</v>
      </c>
      <c r="F20" s="4" t="s">
        <v>200</v>
      </c>
      <c r="G20" s="4" t="s">
        <v>275</v>
      </c>
      <c r="H20" s="13">
        <v>45000</v>
      </c>
      <c r="I20" s="13">
        <v>1</v>
      </c>
      <c r="J20" s="14">
        <v>46073</v>
      </c>
      <c r="K20" s="4" t="s">
        <v>202</v>
      </c>
      <c r="L20" s="13">
        <v>600000</v>
      </c>
      <c r="M20" s="13">
        <v>10</v>
      </c>
      <c r="N20" s="13">
        <v>8.5</v>
      </c>
      <c r="O20" s="4" t="s">
        <v>203</v>
      </c>
      <c r="P20" t="str">
        <f t="shared" si="0"/>
        <v>rajesh kumar</v>
      </c>
      <c r="Q20" t="str">
        <f t="shared" si="1"/>
        <v>RAJESH KUMAR</v>
      </c>
      <c r="R20" t="str">
        <f t="shared" si="2"/>
        <v>Rajesh Kumar</v>
      </c>
      <c r="S20" t="str">
        <f t="shared" si="3"/>
        <v>Rajesh</v>
      </c>
      <c r="T20" t="str">
        <f t="shared" si="4"/>
        <v xml:space="preserve"> Kumar</v>
      </c>
      <c r="U20">
        <f t="shared" si="5"/>
        <v>12</v>
      </c>
      <c r="X20">
        <f>FIND("@",X17)</f>
        <v>4</v>
      </c>
      <c r="AB20" s="4" t="s">
        <v>259</v>
      </c>
      <c r="AC20" t="str">
        <f t="shared" ref="AC20:AC23" si="11">VLOOKUP(AB20,$A$1:$O$51,11,FALSE)</f>
        <v>UPI</v>
      </c>
      <c r="AD20">
        <f>INDEX($L2:$L52,MATCH(AB20,$A2:$A52,0))</f>
        <v>300000</v>
      </c>
    </row>
    <row r="21" spans="1:36" ht="15.75" thickBot="1" x14ac:dyDescent="0.3">
      <c r="A21" s="4" t="s">
        <v>276</v>
      </c>
      <c r="B21" s="4" t="s">
        <v>277</v>
      </c>
      <c r="C21" s="4" t="s">
        <v>206</v>
      </c>
      <c r="D21" s="13">
        <v>25</v>
      </c>
      <c r="E21" s="4" t="s">
        <v>12</v>
      </c>
      <c r="F21" s="4" t="s">
        <v>244</v>
      </c>
      <c r="G21" s="4" t="s">
        <v>278</v>
      </c>
      <c r="H21" s="13">
        <v>3800</v>
      </c>
      <c r="I21" s="13">
        <v>3</v>
      </c>
      <c r="J21" s="14">
        <v>46075</v>
      </c>
      <c r="K21" s="4" t="s">
        <v>209</v>
      </c>
      <c r="L21" s="13">
        <v>90000</v>
      </c>
      <c r="M21" s="13">
        <v>2</v>
      </c>
      <c r="N21" s="13">
        <v>11.8</v>
      </c>
      <c r="O21" s="4" t="s">
        <v>218</v>
      </c>
      <c r="P21" t="str">
        <f t="shared" si="0"/>
        <v>divya shah</v>
      </c>
      <c r="Q21" t="str">
        <f t="shared" si="1"/>
        <v>DIVYA SHAH</v>
      </c>
      <c r="R21" t="str">
        <f t="shared" si="2"/>
        <v>Divya Shah</v>
      </c>
      <c r="S21" t="str">
        <f t="shared" si="3"/>
        <v xml:space="preserve">Divya </v>
      </c>
      <c r="T21" t="str">
        <f t="shared" si="4"/>
        <v>a Shah</v>
      </c>
      <c r="U21">
        <f t="shared" si="5"/>
        <v>10</v>
      </c>
      <c r="X21" t="str">
        <f>MID(X17,FIND("@",X17)+1,FIND(".",X17)-FIND("@",X17)-1)</f>
        <v>Gmail</v>
      </c>
      <c r="AB21" s="4" t="s">
        <v>249</v>
      </c>
      <c r="AC21" t="str">
        <f t="shared" si="11"/>
        <v>UPI</v>
      </c>
      <c r="AD21">
        <f>INDEX($L1:$L53,MATCH(AB21,$A1:$A53,0))</f>
        <v>160000</v>
      </c>
      <c r="AG21" t="s">
        <v>411</v>
      </c>
    </row>
    <row r="22" spans="1:36" ht="15.75" thickBot="1" x14ac:dyDescent="0.3">
      <c r="A22" s="4" t="s">
        <v>279</v>
      </c>
      <c r="B22" s="4" t="s">
        <v>280</v>
      </c>
      <c r="C22" s="4" t="s">
        <v>221</v>
      </c>
      <c r="D22" s="13">
        <v>34</v>
      </c>
      <c r="E22" s="4" t="s">
        <v>7</v>
      </c>
      <c r="F22" s="4" t="s">
        <v>200</v>
      </c>
      <c r="G22" s="4" t="s">
        <v>281</v>
      </c>
      <c r="H22" s="13">
        <v>2500</v>
      </c>
      <c r="I22" s="13">
        <v>2</v>
      </c>
      <c r="J22" s="14">
        <v>46078</v>
      </c>
      <c r="K22" s="4" t="s">
        <v>202</v>
      </c>
      <c r="L22" s="13">
        <v>240000</v>
      </c>
      <c r="M22" s="13">
        <v>4</v>
      </c>
      <c r="N22" s="13">
        <v>10</v>
      </c>
      <c r="O22" s="4" t="s">
        <v>203</v>
      </c>
      <c r="P22" t="str">
        <f t="shared" si="0"/>
        <v>nitin arora</v>
      </c>
      <c r="Q22" t="str">
        <f t="shared" si="1"/>
        <v>NITIN ARORA</v>
      </c>
      <c r="R22" t="str">
        <f t="shared" si="2"/>
        <v>Nitin Arora</v>
      </c>
      <c r="S22" t="str">
        <f t="shared" si="3"/>
        <v xml:space="preserve">Nitin </v>
      </c>
      <c r="T22" t="str">
        <f t="shared" si="4"/>
        <v xml:space="preserve"> Arora</v>
      </c>
      <c r="U22">
        <f t="shared" si="5"/>
        <v>11</v>
      </c>
      <c r="AB22" s="4" t="s">
        <v>246</v>
      </c>
      <c r="AC22" t="str">
        <f t="shared" si="11"/>
        <v>UPI</v>
      </c>
      <c r="AD22">
        <f>INDEX($L1:$L54,MATCH(AB22,$A1:$A54,0))</f>
        <v>275000</v>
      </c>
      <c r="AG22" s="7">
        <v>40516</v>
      </c>
      <c r="AH22" s="7">
        <f ca="1">TODAY()</f>
        <v>46271</v>
      </c>
    </row>
    <row r="23" spans="1:36" ht="15.75" thickBot="1" x14ac:dyDescent="0.3">
      <c r="A23" s="4" t="s">
        <v>282</v>
      </c>
      <c r="B23" s="4" t="s">
        <v>283</v>
      </c>
      <c r="C23" s="4" t="s">
        <v>284</v>
      </c>
      <c r="D23" s="13">
        <v>29</v>
      </c>
      <c r="E23" s="4" t="s">
        <v>12</v>
      </c>
      <c r="F23" s="4" t="s">
        <v>207</v>
      </c>
      <c r="G23" s="4" t="s">
        <v>285</v>
      </c>
      <c r="H23" s="13">
        <v>2200</v>
      </c>
      <c r="I23" s="13">
        <v>2</v>
      </c>
      <c r="J23" s="14">
        <v>46080</v>
      </c>
      <c r="K23" s="4" t="s">
        <v>233</v>
      </c>
      <c r="L23" s="13">
        <v>130000</v>
      </c>
      <c r="M23" s="13">
        <v>3</v>
      </c>
      <c r="N23" s="13">
        <v>10.6</v>
      </c>
      <c r="O23" s="4" t="s">
        <v>203</v>
      </c>
      <c r="P23" t="str">
        <f t="shared" si="0"/>
        <v>ayesha khan</v>
      </c>
      <c r="Q23" t="str">
        <f t="shared" si="1"/>
        <v>AYESHA KHAN</v>
      </c>
      <c r="R23" t="str">
        <f t="shared" si="2"/>
        <v>Ayesha Khan</v>
      </c>
      <c r="S23" t="str">
        <f t="shared" si="3"/>
        <v>Ayesha</v>
      </c>
      <c r="T23" t="str">
        <f t="shared" si="4"/>
        <v>a Khan</v>
      </c>
      <c r="U23">
        <f t="shared" si="5"/>
        <v>11</v>
      </c>
      <c r="X23" t="s">
        <v>406</v>
      </c>
      <c r="AB23" s="4" t="s">
        <v>256</v>
      </c>
      <c r="AC23" t="str">
        <f t="shared" si="11"/>
        <v>Credit Card</v>
      </c>
      <c r="AD23">
        <f>INDEX($L1:$L55,MATCH(AB23,$A1:$A55,0))</f>
        <v>80000</v>
      </c>
      <c r="AG23">
        <f ca="1">DATEDIF(AG22,TODAY(),"y")</f>
        <v>15</v>
      </c>
    </row>
    <row r="24" spans="1:36" ht="15.75" thickBot="1" x14ac:dyDescent="0.3">
      <c r="A24" s="4" t="s">
        <v>286</v>
      </c>
      <c r="B24" s="4" t="s">
        <v>287</v>
      </c>
      <c r="C24" s="4" t="s">
        <v>199</v>
      </c>
      <c r="D24" s="13">
        <v>47</v>
      </c>
      <c r="E24" s="4" t="s">
        <v>7</v>
      </c>
      <c r="F24" s="4" t="s">
        <v>212</v>
      </c>
      <c r="G24" s="4" t="s">
        <v>288</v>
      </c>
      <c r="H24" s="13">
        <v>35000</v>
      </c>
      <c r="I24" s="13">
        <v>1</v>
      </c>
      <c r="J24" s="14">
        <v>46082</v>
      </c>
      <c r="K24" s="4" t="s">
        <v>214</v>
      </c>
      <c r="L24" s="13">
        <v>500000</v>
      </c>
      <c r="M24" s="13">
        <v>7</v>
      </c>
      <c r="N24" s="13">
        <v>9</v>
      </c>
      <c r="O24" s="4" t="s">
        <v>203</v>
      </c>
      <c r="P24" t="str">
        <f t="shared" si="0"/>
        <v>mohit agarwal</v>
      </c>
      <c r="Q24" t="str">
        <f t="shared" si="1"/>
        <v>MOHIT AGARWAL</v>
      </c>
      <c r="R24" t="str">
        <f t="shared" si="2"/>
        <v>Mohit Agarwal</v>
      </c>
      <c r="S24" t="str">
        <f t="shared" si="3"/>
        <v xml:space="preserve">Mohit </v>
      </c>
      <c r="T24" t="str">
        <f t="shared" si="4"/>
        <v>garwal</v>
      </c>
      <c r="U24">
        <f t="shared" si="5"/>
        <v>13</v>
      </c>
      <c r="X24">
        <v>550.20000000000005</v>
      </c>
      <c r="AB24" s="4"/>
    </row>
    <row r="25" spans="1:36" ht="15.75" thickBot="1" x14ac:dyDescent="0.3">
      <c r="A25" s="4" t="s">
        <v>289</v>
      </c>
      <c r="B25" s="4" t="s">
        <v>290</v>
      </c>
      <c r="C25" s="4" t="s">
        <v>216</v>
      </c>
      <c r="D25" s="13">
        <v>23</v>
      </c>
      <c r="E25" s="4" t="s">
        <v>12</v>
      </c>
      <c r="F25" s="4" t="s">
        <v>226</v>
      </c>
      <c r="G25" s="4" t="s">
        <v>291</v>
      </c>
      <c r="H25" s="13">
        <v>2900</v>
      </c>
      <c r="I25" s="13">
        <v>2</v>
      </c>
      <c r="J25" s="14">
        <v>46084</v>
      </c>
      <c r="K25" s="4" t="s">
        <v>202</v>
      </c>
      <c r="L25" s="13">
        <v>70000</v>
      </c>
      <c r="M25" s="13">
        <v>2</v>
      </c>
      <c r="N25" s="13">
        <v>12.5</v>
      </c>
      <c r="O25" s="4" t="s">
        <v>218</v>
      </c>
      <c r="P25" t="str">
        <f t="shared" si="0"/>
        <v>isha gupta</v>
      </c>
      <c r="Q25" t="str">
        <f t="shared" si="1"/>
        <v>ISHA GUPTA</v>
      </c>
      <c r="R25" t="str">
        <f t="shared" si="2"/>
        <v>Isha Gupta</v>
      </c>
      <c r="S25" t="str">
        <f t="shared" si="3"/>
        <v>Isha G</v>
      </c>
      <c r="T25" t="str">
        <f t="shared" si="4"/>
        <v xml:space="preserve"> Gupta</v>
      </c>
      <c r="U25">
        <f t="shared" si="5"/>
        <v>10</v>
      </c>
      <c r="X25">
        <f>INT(X24)</f>
        <v>550</v>
      </c>
    </row>
    <row r="26" spans="1:36" ht="15.75" thickBot="1" x14ac:dyDescent="0.3">
      <c r="A26" s="4" t="s">
        <v>292</v>
      </c>
      <c r="B26" s="4" t="s">
        <v>293</v>
      </c>
      <c r="C26" s="4" t="s">
        <v>230</v>
      </c>
      <c r="D26" s="13">
        <v>37</v>
      </c>
      <c r="E26" s="4" t="s">
        <v>7</v>
      </c>
      <c r="F26" s="4" t="s">
        <v>200</v>
      </c>
      <c r="G26" s="4" t="s">
        <v>294</v>
      </c>
      <c r="H26" s="13">
        <v>6500</v>
      </c>
      <c r="I26" s="13">
        <v>1</v>
      </c>
      <c r="J26" s="14">
        <v>46086</v>
      </c>
      <c r="K26" s="4" t="s">
        <v>209</v>
      </c>
      <c r="L26" s="13">
        <v>280000</v>
      </c>
      <c r="M26" s="13">
        <v>5</v>
      </c>
      <c r="N26" s="13">
        <v>9.4</v>
      </c>
      <c r="O26" s="4" t="s">
        <v>203</v>
      </c>
      <c r="P26" t="str">
        <f t="shared" si="0"/>
        <v>varun bansal</v>
      </c>
      <c r="Q26" t="str">
        <f t="shared" si="1"/>
        <v>VARUN BANSAL</v>
      </c>
      <c r="R26" t="str">
        <f t="shared" si="2"/>
        <v>Varun Bansal</v>
      </c>
      <c r="S26" t="str">
        <f t="shared" si="3"/>
        <v xml:space="preserve">Varun </v>
      </c>
      <c r="T26" t="str">
        <f t="shared" si="4"/>
        <v>Bansal</v>
      </c>
      <c r="U26">
        <f t="shared" si="5"/>
        <v>12</v>
      </c>
      <c r="AB26">
        <f>VLOOKUP("Amit*",B1:O51,3,FALSE)</f>
        <v>41</v>
      </c>
      <c r="AC26">
        <f>VLOOKUP("A??t*",B1:O51,3,0)</f>
        <v>41</v>
      </c>
    </row>
    <row r="27" spans="1:36" ht="15.75" thickBot="1" x14ac:dyDescent="0.3">
      <c r="A27" s="4" t="s">
        <v>295</v>
      </c>
      <c r="B27" s="4" t="s">
        <v>296</v>
      </c>
      <c r="C27" s="4" t="s">
        <v>297</v>
      </c>
      <c r="D27" s="13">
        <v>33</v>
      </c>
      <c r="E27" s="4" t="s">
        <v>12</v>
      </c>
      <c r="F27" s="4" t="s">
        <v>231</v>
      </c>
      <c r="G27" s="4" t="s">
        <v>298</v>
      </c>
      <c r="H27" s="13">
        <v>1800</v>
      </c>
      <c r="I27" s="13">
        <v>3</v>
      </c>
      <c r="J27" s="14">
        <v>46088</v>
      </c>
      <c r="K27" s="4" t="s">
        <v>202</v>
      </c>
      <c r="L27" s="13">
        <v>190000</v>
      </c>
      <c r="M27" s="13">
        <v>4</v>
      </c>
      <c r="N27" s="13">
        <v>10.3</v>
      </c>
      <c r="O27" s="4" t="s">
        <v>203</v>
      </c>
      <c r="P27" t="str">
        <f t="shared" si="0"/>
        <v>shweta nair</v>
      </c>
      <c r="Q27" t="str">
        <f t="shared" si="1"/>
        <v>SHWETA NAIR</v>
      </c>
      <c r="R27" t="str">
        <f t="shared" si="2"/>
        <v>Shweta Nair</v>
      </c>
      <c r="S27" t="str">
        <f t="shared" si="3"/>
        <v>Shweta</v>
      </c>
      <c r="T27" t="str">
        <f t="shared" si="4"/>
        <v>a Nair</v>
      </c>
      <c r="U27">
        <f t="shared" si="5"/>
        <v>11</v>
      </c>
      <c r="AB27">
        <f>VLOOKUP("Rice*",G1:O51,2,FALSE)</f>
        <v>1200</v>
      </c>
    </row>
    <row r="28" spans="1:36" ht="17.25" thickBot="1" x14ac:dyDescent="0.35">
      <c r="A28" s="4" t="s">
        <v>299</v>
      </c>
      <c r="B28" s="4" t="s">
        <v>300</v>
      </c>
      <c r="C28" s="4" t="s">
        <v>261</v>
      </c>
      <c r="D28" s="13">
        <v>40</v>
      </c>
      <c r="E28" s="4" t="s">
        <v>7</v>
      </c>
      <c r="F28" s="4" t="s">
        <v>200</v>
      </c>
      <c r="G28" s="4" t="s">
        <v>301</v>
      </c>
      <c r="H28" s="13">
        <v>42000</v>
      </c>
      <c r="I28" s="13">
        <v>1</v>
      </c>
      <c r="J28" s="14">
        <v>46091</v>
      </c>
      <c r="K28" s="4" t="s">
        <v>214</v>
      </c>
      <c r="L28" s="13">
        <v>450000</v>
      </c>
      <c r="M28" s="13">
        <v>7</v>
      </c>
      <c r="N28" s="13">
        <v>8.9</v>
      </c>
      <c r="O28" s="4" t="s">
        <v>203</v>
      </c>
      <c r="P28" t="str">
        <f t="shared" si="0"/>
        <v>akash mishra</v>
      </c>
      <c r="Q28" t="str">
        <f t="shared" si="1"/>
        <v>AKASH MISHRA</v>
      </c>
      <c r="R28" t="str">
        <f t="shared" si="2"/>
        <v>Akash Mishra</v>
      </c>
      <c r="S28" t="str">
        <f t="shared" si="3"/>
        <v xml:space="preserve">Akash </v>
      </c>
      <c r="T28" t="str">
        <f t="shared" si="4"/>
        <v>Mishra</v>
      </c>
      <c r="U28">
        <f t="shared" si="5"/>
        <v>12</v>
      </c>
      <c r="AB28">
        <f>VLOOKUP("R*",B1:O51,7,0)</f>
        <v>55000</v>
      </c>
      <c r="AC28" s="15"/>
    </row>
    <row r="29" spans="1:36" ht="15.75" thickBot="1" x14ac:dyDescent="0.3">
      <c r="A29" s="4" t="s">
        <v>302</v>
      </c>
      <c r="B29" s="4" t="s">
        <v>303</v>
      </c>
      <c r="C29" s="4" t="s">
        <v>199</v>
      </c>
      <c r="D29" s="13">
        <v>27</v>
      </c>
      <c r="E29" s="4" t="s">
        <v>12</v>
      </c>
      <c r="F29" s="4" t="s">
        <v>207</v>
      </c>
      <c r="G29" s="4" t="s">
        <v>304</v>
      </c>
      <c r="H29" s="13">
        <v>3200</v>
      </c>
      <c r="I29" s="13">
        <v>2</v>
      </c>
      <c r="J29" s="14">
        <v>46093</v>
      </c>
      <c r="K29" s="4" t="s">
        <v>202</v>
      </c>
      <c r="L29" s="13">
        <v>110000</v>
      </c>
      <c r="M29" s="13">
        <v>2</v>
      </c>
      <c r="N29" s="13">
        <v>11</v>
      </c>
      <c r="O29" s="4" t="s">
        <v>203</v>
      </c>
      <c r="P29" t="str">
        <f t="shared" si="0"/>
        <v>tanya sethi</v>
      </c>
      <c r="Q29" t="str">
        <f t="shared" si="1"/>
        <v>TANYA SETHI</v>
      </c>
      <c r="R29" t="str">
        <f t="shared" si="2"/>
        <v>Tanya Sethi</v>
      </c>
      <c r="S29" t="str">
        <f t="shared" si="3"/>
        <v xml:space="preserve">Tanya </v>
      </c>
      <c r="T29" t="str">
        <f t="shared" si="4"/>
        <v xml:space="preserve"> Sethi</v>
      </c>
      <c r="U29">
        <f t="shared" si="5"/>
        <v>11</v>
      </c>
      <c r="AB29" t="str">
        <f>VLOOKUP("*",A1:F19,2,FALSE)</f>
        <v>Customer_Name</v>
      </c>
    </row>
    <row r="30" spans="1:36" ht="15.75" thickBot="1" x14ac:dyDescent="0.3">
      <c r="A30" s="4" t="s">
        <v>305</v>
      </c>
      <c r="B30" s="4" t="s">
        <v>306</v>
      </c>
      <c r="C30" s="4" t="s">
        <v>243</v>
      </c>
      <c r="D30" s="13">
        <v>46</v>
      </c>
      <c r="E30" s="4" t="s">
        <v>7</v>
      </c>
      <c r="F30" s="4" t="s">
        <v>212</v>
      </c>
      <c r="G30" s="4" t="s">
        <v>307</v>
      </c>
      <c r="H30" s="13">
        <v>25000</v>
      </c>
      <c r="I30" s="13">
        <v>1</v>
      </c>
      <c r="J30" s="14">
        <v>46096</v>
      </c>
      <c r="K30" s="4" t="s">
        <v>209</v>
      </c>
      <c r="L30" s="13">
        <v>525000</v>
      </c>
      <c r="M30" s="13">
        <v>8</v>
      </c>
      <c r="N30" s="13">
        <v>8.6</v>
      </c>
      <c r="O30" s="4" t="s">
        <v>203</v>
      </c>
      <c r="P30" t="str">
        <f t="shared" si="0"/>
        <v>sanjay rao</v>
      </c>
      <c r="Q30" t="str">
        <f t="shared" si="1"/>
        <v>SANJAY RAO</v>
      </c>
      <c r="R30" t="str">
        <f t="shared" si="2"/>
        <v>Sanjay Rao</v>
      </c>
      <c r="S30" t="str">
        <f t="shared" si="3"/>
        <v>Sanjay</v>
      </c>
      <c r="T30" t="str">
        <f t="shared" si="4"/>
        <v>ay Rao</v>
      </c>
      <c r="U30">
        <f t="shared" si="5"/>
        <v>10</v>
      </c>
    </row>
    <row r="31" spans="1:36" ht="15.75" thickBot="1" x14ac:dyDescent="0.3">
      <c r="A31" s="4" t="s">
        <v>308</v>
      </c>
      <c r="B31" s="4" t="s">
        <v>309</v>
      </c>
      <c r="C31" s="4" t="s">
        <v>239</v>
      </c>
      <c r="D31" s="13">
        <v>31</v>
      </c>
      <c r="E31" s="4" t="s">
        <v>12</v>
      </c>
      <c r="F31" s="4" t="s">
        <v>226</v>
      </c>
      <c r="G31" s="4" t="s">
        <v>310</v>
      </c>
      <c r="H31" s="13">
        <v>950</v>
      </c>
      <c r="I31" s="13">
        <v>4</v>
      </c>
      <c r="J31" s="14">
        <v>46098</v>
      </c>
      <c r="K31" s="4" t="s">
        <v>202</v>
      </c>
      <c r="L31" s="13">
        <v>145000</v>
      </c>
      <c r="M31" s="13">
        <v>3</v>
      </c>
      <c r="N31" s="13">
        <v>10.8</v>
      </c>
      <c r="O31" s="4" t="s">
        <v>203</v>
      </c>
      <c r="P31" t="str">
        <f t="shared" si="0"/>
        <v>nisha patel</v>
      </c>
      <c r="Q31" t="str">
        <f t="shared" si="1"/>
        <v>NISHA PATEL</v>
      </c>
      <c r="R31" t="str">
        <f t="shared" si="2"/>
        <v>Nisha Patel</v>
      </c>
      <c r="S31" t="str">
        <f t="shared" si="3"/>
        <v xml:space="preserve">Nisha </v>
      </c>
      <c r="T31" t="str">
        <f t="shared" si="4"/>
        <v xml:space="preserve"> Patel</v>
      </c>
      <c r="U31">
        <f t="shared" si="5"/>
        <v>11</v>
      </c>
      <c r="AB31" t="e">
        <f>VLOOKUP("~?",A1:F19,2,FALSE)</f>
        <v>#N/A</v>
      </c>
    </row>
    <row r="32" spans="1:36" ht="15.75" thickBot="1" x14ac:dyDescent="0.3">
      <c r="A32" s="4" t="s">
        <v>311</v>
      </c>
      <c r="B32" s="4" t="s">
        <v>312</v>
      </c>
      <c r="C32" s="4" t="s">
        <v>313</v>
      </c>
      <c r="D32" s="13">
        <v>35</v>
      </c>
      <c r="E32" s="4" t="s">
        <v>7</v>
      </c>
      <c r="F32" s="4" t="s">
        <v>200</v>
      </c>
      <c r="G32" s="4" t="s">
        <v>314</v>
      </c>
      <c r="H32" s="13">
        <v>12500</v>
      </c>
      <c r="I32" s="13">
        <v>1</v>
      </c>
      <c r="J32" s="14">
        <v>46101</v>
      </c>
      <c r="K32" s="4" t="s">
        <v>214</v>
      </c>
      <c r="L32" s="13">
        <v>260000</v>
      </c>
      <c r="M32" s="13">
        <v>5</v>
      </c>
      <c r="N32" s="13">
        <v>9.6999999999999993</v>
      </c>
      <c r="O32" s="4" t="s">
        <v>203</v>
      </c>
      <c r="P32" t="str">
        <f t="shared" si="0"/>
        <v>abhishek roy</v>
      </c>
      <c r="Q32" t="str">
        <f t="shared" si="1"/>
        <v>ABHISHEK ROY</v>
      </c>
      <c r="R32" t="str">
        <f t="shared" si="2"/>
        <v>Abhishek Roy</v>
      </c>
      <c r="S32" t="str">
        <f t="shared" si="3"/>
        <v>Abhish</v>
      </c>
      <c r="T32" t="str">
        <f t="shared" si="4"/>
        <v>ek Roy</v>
      </c>
      <c r="U32">
        <f t="shared" si="5"/>
        <v>12</v>
      </c>
    </row>
    <row r="33" spans="1:21" ht="27" thickBot="1" x14ac:dyDescent="0.3">
      <c r="A33" s="4" t="s">
        <v>315</v>
      </c>
      <c r="B33" s="4" t="s">
        <v>316</v>
      </c>
      <c r="C33" s="4" t="s">
        <v>199</v>
      </c>
      <c r="D33" s="13">
        <v>26</v>
      </c>
      <c r="E33" s="4" t="s">
        <v>12</v>
      </c>
      <c r="F33" s="4" t="s">
        <v>207</v>
      </c>
      <c r="G33" s="4" t="s">
        <v>317</v>
      </c>
      <c r="H33" s="13">
        <v>1200</v>
      </c>
      <c r="I33" s="13">
        <v>3</v>
      </c>
      <c r="J33" s="14">
        <v>46103</v>
      </c>
      <c r="K33" s="4" t="s">
        <v>202</v>
      </c>
      <c r="L33" s="13">
        <v>95000</v>
      </c>
      <c r="M33" s="13">
        <v>2</v>
      </c>
      <c r="N33" s="13">
        <v>11.4</v>
      </c>
      <c r="O33" s="4" t="s">
        <v>218</v>
      </c>
      <c r="P33" t="str">
        <f t="shared" si="0"/>
        <v>komal sharma</v>
      </c>
      <c r="Q33" t="str">
        <f t="shared" si="1"/>
        <v>KOMAL SHARMA</v>
      </c>
      <c r="R33" t="str">
        <f t="shared" si="2"/>
        <v>Komal Sharma</v>
      </c>
      <c r="S33" t="str">
        <f t="shared" si="3"/>
        <v xml:space="preserve">Komal </v>
      </c>
      <c r="T33" t="str">
        <f t="shared" si="4"/>
        <v>Sharma</v>
      </c>
      <c r="U33">
        <f t="shared" si="5"/>
        <v>12</v>
      </c>
    </row>
    <row r="34" spans="1:21" ht="27" thickBot="1" x14ac:dyDescent="0.3">
      <c r="A34" s="4" t="s">
        <v>318</v>
      </c>
      <c r="B34" s="4" t="s">
        <v>319</v>
      </c>
      <c r="C34" s="4" t="s">
        <v>251</v>
      </c>
      <c r="D34" s="13">
        <v>43</v>
      </c>
      <c r="E34" s="4" t="s">
        <v>7</v>
      </c>
      <c r="F34" s="4" t="s">
        <v>231</v>
      </c>
      <c r="G34" s="4" t="s">
        <v>320</v>
      </c>
      <c r="H34" s="13">
        <v>1600</v>
      </c>
      <c r="I34" s="13">
        <v>5</v>
      </c>
      <c r="J34" s="14">
        <v>46105</v>
      </c>
      <c r="K34" s="4" t="s">
        <v>233</v>
      </c>
      <c r="L34" s="13">
        <v>375000</v>
      </c>
      <c r="M34" s="13">
        <v>6</v>
      </c>
      <c r="N34" s="13">
        <v>9.1</v>
      </c>
      <c r="O34" s="4" t="s">
        <v>203</v>
      </c>
      <c r="P34" t="str">
        <f t="shared" si="0"/>
        <v>ravi thakur</v>
      </c>
      <c r="Q34" t="str">
        <f t="shared" si="1"/>
        <v>RAVI THAKUR</v>
      </c>
      <c r="R34" t="str">
        <f t="shared" si="2"/>
        <v>Ravi Thakur</v>
      </c>
      <c r="S34" t="str">
        <f t="shared" si="3"/>
        <v>Ravi T</v>
      </c>
      <c r="T34" t="str">
        <f t="shared" si="4"/>
        <v>Thakur</v>
      </c>
      <c r="U34">
        <f t="shared" si="5"/>
        <v>11</v>
      </c>
    </row>
    <row r="35" spans="1:21" ht="27" thickBot="1" x14ac:dyDescent="0.3">
      <c r="A35" s="4" t="s">
        <v>321</v>
      </c>
      <c r="B35" s="4" t="s">
        <v>322</v>
      </c>
      <c r="C35" s="4" t="s">
        <v>216</v>
      </c>
      <c r="D35" s="13">
        <v>30</v>
      </c>
      <c r="E35" s="4" t="s">
        <v>12</v>
      </c>
      <c r="F35" s="4" t="s">
        <v>244</v>
      </c>
      <c r="G35" s="4" t="s">
        <v>323</v>
      </c>
      <c r="H35" s="13">
        <v>8500</v>
      </c>
      <c r="I35" s="13">
        <v>1</v>
      </c>
      <c r="J35" s="14">
        <v>46107</v>
      </c>
      <c r="K35" s="4" t="s">
        <v>209</v>
      </c>
      <c r="L35" s="13">
        <v>210000</v>
      </c>
      <c r="M35" s="13">
        <v>4</v>
      </c>
      <c r="N35" s="13">
        <v>10</v>
      </c>
      <c r="O35" s="4" t="s">
        <v>203</v>
      </c>
      <c r="P35" t="str">
        <f t="shared" si="0"/>
        <v>preeti gupta</v>
      </c>
      <c r="Q35" t="str">
        <f t="shared" si="1"/>
        <v>PREETI GUPTA</v>
      </c>
      <c r="R35" t="str">
        <f t="shared" si="2"/>
        <v>Preeti Gupta</v>
      </c>
      <c r="S35" t="str">
        <f t="shared" si="3"/>
        <v>Preeti</v>
      </c>
      <c r="T35" t="str">
        <f t="shared" si="4"/>
        <v xml:space="preserve"> Gupta</v>
      </c>
      <c r="U35">
        <f t="shared" si="5"/>
        <v>12</v>
      </c>
    </row>
    <row r="36" spans="1:21" ht="27" thickBot="1" x14ac:dyDescent="0.3">
      <c r="A36" s="4" t="s">
        <v>324</v>
      </c>
      <c r="B36" s="4" t="s">
        <v>325</v>
      </c>
      <c r="C36" s="4" t="s">
        <v>199</v>
      </c>
      <c r="D36" s="13">
        <v>49</v>
      </c>
      <c r="E36" s="4" t="s">
        <v>7</v>
      </c>
      <c r="F36" s="4" t="s">
        <v>200</v>
      </c>
      <c r="G36" s="4" t="s">
        <v>326</v>
      </c>
      <c r="H36" s="13">
        <v>30000</v>
      </c>
      <c r="I36" s="13">
        <v>1</v>
      </c>
      <c r="J36" s="14">
        <v>46109</v>
      </c>
      <c r="K36" s="4" t="s">
        <v>202</v>
      </c>
      <c r="L36" s="13">
        <v>650000</v>
      </c>
      <c r="M36" s="13">
        <v>10</v>
      </c>
      <c r="N36" s="13">
        <v>8.4</v>
      </c>
      <c r="O36" s="4" t="s">
        <v>203</v>
      </c>
      <c r="P36" t="str">
        <f t="shared" si="0"/>
        <v>ajay kumar</v>
      </c>
      <c r="Q36" t="str">
        <f t="shared" si="1"/>
        <v>AJAY KUMAR</v>
      </c>
      <c r="R36" t="str">
        <f t="shared" si="2"/>
        <v>Ajay Kumar</v>
      </c>
      <c r="S36" t="str">
        <f t="shared" si="3"/>
        <v>Ajay K</v>
      </c>
      <c r="T36" t="str">
        <f t="shared" si="4"/>
        <v xml:space="preserve"> Kumar</v>
      </c>
      <c r="U36">
        <f t="shared" si="5"/>
        <v>10</v>
      </c>
    </row>
    <row r="37" spans="1:21" ht="27" thickBot="1" x14ac:dyDescent="0.3">
      <c r="A37" s="4" t="s">
        <v>327</v>
      </c>
      <c r="B37" s="4" t="s">
        <v>328</v>
      </c>
      <c r="C37" s="4" t="s">
        <v>230</v>
      </c>
      <c r="D37" s="13">
        <v>28</v>
      </c>
      <c r="E37" s="4" t="s">
        <v>12</v>
      </c>
      <c r="F37" s="4" t="s">
        <v>207</v>
      </c>
      <c r="G37" s="4" t="s">
        <v>329</v>
      </c>
      <c r="H37" s="13">
        <v>4500</v>
      </c>
      <c r="I37" s="13">
        <v>1</v>
      </c>
      <c r="J37" s="14">
        <v>46111</v>
      </c>
      <c r="K37" s="4" t="s">
        <v>202</v>
      </c>
      <c r="L37" s="13">
        <v>125000</v>
      </c>
      <c r="M37" s="13">
        <v>3</v>
      </c>
      <c r="N37" s="13">
        <v>10.7</v>
      </c>
      <c r="O37" s="4" t="s">
        <v>203</v>
      </c>
      <c r="P37" t="str">
        <f t="shared" si="0"/>
        <v>mansi jain</v>
      </c>
      <c r="Q37" t="str">
        <f t="shared" si="1"/>
        <v>MANSI JAIN</v>
      </c>
      <c r="R37" t="str">
        <f t="shared" si="2"/>
        <v>Mansi Jain</v>
      </c>
      <c r="S37" t="str">
        <f t="shared" si="3"/>
        <v xml:space="preserve">Mansi </v>
      </c>
      <c r="T37" t="str">
        <f t="shared" si="4"/>
        <v>i Jain</v>
      </c>
      <c r="U37">
        <f t="shared" si="5"/>
        <v>10</v>
      </c>
    </row>
    <row r="38" spans="1:21" ht="27" thickBot="1" x14ac:dyDescent="0.3">
      <c r="A38" s="4" t="s">
        <v>330</v>
      </c>
      <c r="B38" s="4" t="s">
        <v>331</v>
      </c>
      <c r="C38" s="4" t="s">
        <v>221</v>
      </c>
      <c r="D38" s="13">
        <v>52</v>
      </c>
      <c r="E38" s="4" t="s">
        <v>7</v>
      </c>
      <c r="F38" s="4" t="s">
        <v>212</v>
      </c>
      <c r="G38" s="4" t="s">
        <v>332</v>
      </c>
      <c r="H38" s="13">
        <v>32000</v>
      </c>
      <c r="I38" s="13">
        <v>1</v>
      </c>
      <c r="J38" s="14">
        <v>46114</v>
      </c>
      <c r="K38" s="4" t="s">
        <v>214</v>
      </c>
      <c r="L38" s="13">
        <v>700000</v>
      </c>
      <c r="M38" s="13">
        <v>10</v>
      </c>
      <c r="N38" s="13">
        <v>8.3000000000000007</v>
      </c>
      <c r="O38" s="4" t="s">
        <v>203</v>
      </c>
      <c r="P38" t="str">
        <f t="shared" si="0"/>
        <v>prakash singh</v>
      </c>
      <c r="Q38" t="str">
        <f t="shared" si="1"/>
        <v>PRAKASH SINGH</v>
      </c>
      <c r="R38" t="str">
        <f t="shared" si="2"/>
        <v>Prakash Singh</v>
      </c>
      <c r="S38" t="str">
        <f t="shared" si="3"/>
        <v>Prakas</v>
      </c>
      <c r="T38" t="str">
        <f t="shared" si="4"/>
        <v xml:space="preserve"> Singh</v>
      </c>
      <c r="U38">
        <f t="shared" si="5"/>
        <v>13</v>
      </c>
    </row>
    <row r="39" spans="1:21" ht="27" thickBot="1" x14ac:dyDescent="0.3">
      <c r="A39" s="4" t="s">
        <v>333</v>
      </c>
      <c r="B39" s="4" t="s">
        <v>334</v>
      </c>
      <c r="C39" s="4" t="s">
        <v>313</v>
      </c>
      <c r="D39" s="13">
        <v>25</v>
      </c>
      <c r="E39" s="4" t="s">
        <v>12</v>
      </c>
      <c r="F39" s="4" t="s">
        <v>226</v>
      </c>
      <c r="G39" s="4" t="s">
        <v>335</v>
      </c>
      <c r="H39" s="13">
        <v>750</v>
      </c>
      <c r="I39" s="13">
        <v>5</v>
      </c>
      <c r="J39" s="14">
        <v>46116</v>
      </c>
      <c r="K39" s="4" t="s">
        <v>209</v>
      </c>
      <c r="L39" s="13">
        <v>60000</v>
      </c>
      <c r="M39" s="13">
        <v>2</v>
      </c>
      <c r="N39" s="13">
        <v>12.8</v>
      </c>
      <c r="O39" s="4" t="s">
        <v>218</v>
      </c>
      <c r="P39" t="str">
        <f t="shared" si="0"/>
        <v>ritika das</v>
      </c>
      <c r="Q39" t="str">
        <f t="shared" si="1"/>
        <v>RITIKA DAS</v>
      </c>
      <c r="R39" t="str">
        <f t="shared" si="2"/>
        <v>Ritika Das</v>
      </c>
      <c r="S39" t="str">
        <f t="shared" si="3"/>
        <v>Ritika</v>
      </c>
      <c r="T39" t="str">
        <f t="shared" si="4"/>
        <v>ka Das</v>
      </c>
      <c r="U39">
        <f t="shared" si="5"/>
        <v>10</v>
      </c>
    </row>
    <row r="40" spans="1:21" ht="27" thickBot="1" x14ac:dyDescent="0.3">
      <c r="A40" s="4" t="s">
        <v>336</v>
      </c>
      <c r="B40" s="4" t="s">
        <v>337</v>
      </c>
      <c r="C40" s="4" t="s">
        <v>261</v>
      </c>
      <c r="D40" s="13">
        <v>36</v>
      </c>
      <c r="E40" s="4" t="s">
        <v>7</v>
      </c>
      <c r="F40" s="4" t="s">
        <v>200</v>
      </c>
      <c r="G40" s="4" t="s">
        <v>338</v>
      </c>
      <c r="H40" s="13">
        <v>38000</v>
      </c>
      <c r="I40" s="13">
        <v>1</v>
      </c>
      <c r="J40" s="14">
        <v>46118</v>
      </c>
      <c r="K40" s="4" t="s">
        <v>202</v>
      </c>
      <c r="L40" s="13">
        <v>325000</v>
      </c>
      <c r="M40" s="13">
        <v>5</v>
      </c>
      <c r="N40" s="13">
        <v>9.5</v>
      </c>
      <c r="O40" s="4" t="s">
        <v>203</v>
      </c>
      <c r="P40" t="str">
        <f t="shared" si="0"/>
        <v>manoj yadav</v>
      </c>
      <c r="Q40" t="str">
        <f t="shared" si="1"/>
        <v>MANOJ YADAV</v>
      </c>
      <c r="R40" t="str">
        <f t="shared" si="2"/>
        <v>Manoj Yadav</v>
      </c>
      <c r="S40" t="str">
        <f t="shared" si="3"/>
        <v xml:space="preserve">Manoj </v>
      </c>
      <c r="T40" t="str">
        <f t="shared" si="4"/>
        <v xml:space="preserve"> Yadav</v>
      </c>
      <c r="U40">
        <f t="shared" si="5"/>
        <v>11</v>
      </c>
    </row>
    <row r="41" spans="1:21" ht="27" thickBot="1" x14ac:dyDescent="0.3">
      <c r="A41" s="4" t="s">
        <v>339</v>
      </c>
      <c r="B41" s="4" t="s">
        <v>340</v>
      </c>
      <c r="C41" s="4" t="s">
        <v>225</v>
      </c>
      <c r="D41" s="13">
        <v>32</v>
      </c>
      <c r="E41" s="4" t="s">
        <v>12</v>
      </c>
      <c r="F41" s="4" t="s">
        <v>231</v>
      </c>
      <c r="G41" s="4" t="s">
        <v>341</v>
      </c>
      <c r="H41" s="13">
        <v>650</v>
      </c>
      <c r="I41" s="13">
        <v>6</v>
      </c>
      <c r="J41" s="14">
        <v>46120</v>
      </c>
      <c r="K41" s="4" t="s">
        <v>202</v>
      </c>
      <c r="L41" s="13">
        <v>155000</v>
      </c>
      <c r="M41" s="13">
        <v>3</v>
      </c>
      <c r="N41" s="13">
        <v>10.199999999999999</v>
      </c>
      <c r="O41" s="4" t="s">
        <v>203</v>
      </c>
      <c r="P41" t="str">
        <f t="shared" si="0"/>
        <v>sakshi mehta</v>
      </c>
      <c r="Q41" t="str">
        <f t="shared" si="1"/>
        <v>SAKSHI MEHTA</v>
      </c>
      <c r="R41" t="str">
        <f t="shared" si="2"/>
        <v>Sakshi Mehta</v>
      </c>
      <c r="S41" t="str">
        <f t="shared" si="3"/>
        <v>Sakshi</v>
      </c>
      <c r="T41" t="str">
        <f t="shared" si="4"/>
        <v xml:space="preserve"> Mehta</v>
      </c>
      <c r="U41">
        <f t="shared" si="5"/>
        <v>12</v>
      </c>
    </row>
    <row r="42" spans="1:21" ht="27" thickBot="1" x14ac:dyDescent="0.3">
      <c r="A42" s="4" t="s">
        <v>342</v>
      </c>
      <c r="B42" s="4" t="s">
        <v>343</v>
      </c>
      <c r="C42" s="4" t="s">
        <v>199</v>
      </c>
      <c r="D42" s="13">
        <v>29</v>
      </c>
      <c r="E42" s="4" t="s">
        <v>12</v>
      </c>
      <c r="F42" s="4" t="s">
        <v>200</v>
      </c>
      <c r="G42" s="4" t="s">
        <v>344</v>
      </c>
      <c r="H42" s="13">
        <v>2200</v>
      </c>
      <c r="I42" s="13">
        <v>2</v>
      </c>
      <c r="J42" s="14">
        <v>46122</v>
      </c>
      <c r="K42" s="4" t="s">
        <v>209</v>
      </c>
      <c r="L42" s="13">
        <v>100000</v>
      </c>
      <c r="M42" s="13">
        <v>2</v>
      </c>
      <c r="N42" s="13">
        <v>11.6</v>
      </c>
      <c r="O42" s="4" t="s">
        <v>203</v>
      </c>
      <c r="P42" t="str">
        <f t="shared" si="0"/>
        <v>varsha kapoor</v>
      </c>
      <c r="Q42" t="str">
        <f t="shared" si="1"/>
        <v>VARSHA KAPOOR</v>
      </c>
      <c r="R42" t="str">
        <f t="shared" si="2"/>
        <v>Varsha Kapoor</v>
      </c>
      <c r="S42" t="str">
        <f t="shared" si="3"/>
        <v>Varsha</v>
      </c>
      <c r="T42" t="str">
        <f t="shared" si="4"/>
        <v>Kapoor</v>
      </c>
      <c r="U42">
        <f t="shared" si="5"/>
        <v>13</v>
      </c>
    </row>
    <row r="43" spans="1:21" ht="27" thickBot="1" x14ac:dyDescent="0.3">
      <c r="A43" s="4" t="s">
        <v>345</v>
      </c>
      <c r="B43" s="4" t="s">
        <v>346</v>
      </c>
      <c r="C43" s="4" t="s">
        <v>239</v>
      </c>
      <c r="D43" s="13">
        <v>45</v>
      </c>
      <c r="E43" s="4" t="s">
        <v>7</v>
      </c>
      <c r="F43" s="4" t="s">
        <v>212</v>
      </c>
      <c r="G43" s="4" t="s">
        <v>347</v>
      </c>
      <c r="H43" s="13">
        <v>7500</v>
      </c>
      <c r="I43" s="13">
        <v>2</v>
      </c>
      <c r="J43" s="14">
        <v>46124</v>
      </c>
      <c r="K43" s="4" t="s">
        <v>214</v>
      </c>
      <c r="L43" s="13">
        <v>420000</v>
      </c>
      <c r="M43" s="13">
        <v>6</v>
      </c>
      <c r="N43" s="13">
        <v>9</v>
      </c>
      <c r="O43" s="4" t="s">
        <v>203</v>
      </c>
      <c r="P43" t="str">
        <f t="shared" si="0"/>
        <v>harish patel</v>
      </c>
      <c r="Q43" t="str">
        <f t="shared" si="1"/>
        <v>HARISH PATEL</v>
      </c>
      <c r="R43" t="str">
        <f t="shared" si="2"/>
        <v>Harish Patel</v>
      </c>
      <c r="S43" t="str">
        <f t="shared" si="3"/>
        <v>Harish</v>
      </c>
      <c r="T43" t="str">
        <f t="shared" si="4"/>
        <v xml:space="preserve"> Patel</v>
      </c>
      <c r="U43">
        <f t="shared" si="5"/>
        <v>12</v>
      </c>
    </row>
    <row r="44" spans="1:21" ht="27" thickBot="1" x14ac:dyDescent="0.3">
      <c r="A44" s="4" t="s">
        <v>348</v>
      </c>
      <c r="B44" s="4" t="s">
        <v>349</v>
      </c>
      <c r="C44" s="4" t="s">
        <v>216</v>
      </c>
      <c r="D44" s="13">
        <v>34</v>
      </c>
      <c r="E44" s="4" t="s">
        <v>12</v>
      </c>
      <c r="F44" s="4" t="s">
        <v>207</v>
      </c>
      <c r="G44" s="4" t="s">
        <v>350</v>
      </c>
      <c r="H44" s="13">
        <v>1800</v>
      </c>
      <c r="I44" s="13">
        <v>3</v>
      </c>
      <c r="J44" s="14">
        <v>46127</v>
      </c>
      <c r="K44" s="4" t="s">
        <v>202</v>
      </c>
      <c r="L44" s="13">
        <v>140000</v>
      </c>
      <c r="M44" s="13">
        <v>3</v>
      </c>
      <c r="N44" s="13">
        <v>10.5</v>
      </c>
      <c r="O44" s="4" t="s">
        <v>203</v>
      </c>
      <c r="P44" t="str">
        <f t="shared" si="0"/>
        <v>neelam verma</v>
      </c>
      <c r="Q44" t="str">
        <f t="shared" si="1"/>
        <v>NEELAM VERMA</v>
      </c>
      <c r="R44" t="str">
        <f t="shared" si="2"/>
        <v>Neelam Verma</v>
      </c>
      <c r="S44" t="str">
        <f t="shared" si="3"/>
        <v>Neelam</v>
      </c>
      <c r="T44" t="str">
        <f t="shared" si="4"/>
        <v xml:space="preserve"> Verma</v>
      </c>
      <c r="U44">
        <f t="shared" si="5"/>
        <v>12</v>
      </c>
    </row>
    <row r="45" spans="1:21" ht="27" thickBot="1" x14ac:dyDescent="0.3">
      <c r="A45" s="4" t="s">
        <v>351</v>
      </c>
      <c r="B45" s="4" t="s">
        <v>352</v>
      </c>
      <c r="C45" s="4" t="s">
        <v>199</v>
      </c>
      <c r="D45" s="13">
        <v>55</v>
      </c>
      <c r="E45" s="4" t="s">
        <v>7</v>
      </c>
      <c r="F45" s="4" t="s">
        <v>200</v>
      </c>
      <c r="G45" s="4" t="s">
        <v>262</v>
      </c>
      <c r="H45" s="13">
        <v>35000</v>
      </c>
      <c r="I45" s="13">
        <v>1</v>
      </c>
      <c r="J45" s="14">
        <v>46129</v>
      </c>
      <c r="K45" s="4" t="s">
        <v>233</v>
      </c>
      <c r="L45" s="13">
        <v>800000</v>
      </c>
      <c r="M45" s="13">
        <v>10</v>
      </c>
      <c r="N45" s="13">
        <v>8.1999999999999993</v>
      </c>
      <c r="O45" s="4" t="s">
        <v>203</v>
      </c>
      <c r="P45" t="str">
        <f t="shared" si="0"/>
        <v>rakesh sharma</v>
      </c>
      <c r="Q45" t="str">
        <f t="shared" si="1"/>
        <v>RAKESH SHARMA</v>
      </c>
      <c r="R45" t="str">
        <f t="shared" si="2"/>
        <v>Rakesh Sharma</v>
      </c>
      <c r="S45" t="str">
        <f t="shared" si="3"/>
        <v>Rakesh</v>
      </c>
      <c r="T45" t="str">
        <f t="shared" si="4"/>
        <v>Sharma</v>
      </c>
      <c r="U45">
        <f t="shared" si="5"/>
        <v>13</v>
      </c>
    </row>
    <row r="46" spans="1:21" ht="27" thickBot="1" x14ac:dyDescent="0.3">
      <c r="A46" s="4" t="s">
        <v>353</v>
      </c>
      <c r="B46" s="4" t="s">
        <v>354</v>
      </c>
      <c r="C46" s="4" t="s">
        <v>206</v>
      </c>
      <c r="D46" s="13">
        <v>27</v>
      </c>
      <c r="E46" s="4" t="s">
        <v>12</v>
      </c>
      <c r="F46" s="4" t="s">
        <v>244</v>
      </c>
      <c r="G46" s="4" t="s">
        <v>355</v>
      </c>
      <c r="H46" s="13">
        <v>9500</v>
      </c>
      <c r="I46" s="13">
        <v>1</v>
      </c>
      <c r="J46" s="14">
        <v>46131</v>
      </c>
      <c r="K46" s="4" t="s">
        <v>209</v>
      </c>
      <c r="L46" s="13">
        <v>115000</v>
      </c>
      <c r="M46" s="13">
        <v>2</v>
      </c>
      <c r="N46" s="13">
        <v>11.1</v>
      </c>
      <c r="O46" s="4" t="s">
        <v>218</v>
      </c>
      <c r="P46" t="str">
        <f t="shared" si="0"/>
        <v>pallavi singh</v>
      </c>
      <c r="Q46" t="str">
        <f t="shared" si="1"/>
        <v>PALLAVI SINGH</v>
      </c>
      <c r="R46" t="str">
        <f t="shared" si="2"/>
        <v>Pallavi Singh</v>
      </c>
      <c r="S46" t="str">
        <f t="shared" si="3"/>
        <v>Pallav</v>
      </c>
      <c r="T46" t="str">
        <f t="shared" si="4"/>
        <v xml:space="preserve"> Singh</v>
      </c>
      <c r="U46">
        <f t="shared" si="5"/>
        <v>13</v>
      </c>
    </row>
    <row r="47" spans="1:21" ht="27" thickBot="1" x14ac:dyDescent="0.3">
      <c r="A47" s="4" t="s">
        <v>356</v>
      </c>
      <c r="B47" s="4" t="s">
        <v>357</v>
      </c>
      <c r="C47" s="4" t="s">
        <v>230</v>
      </c>
      <c r="D47" s="13">
        <v>39</v>
      </c>
      <c r="E47" s="4" t="s">
        <v>7</v>
      </c>
      <c r="F47" s="4" t="s">
        <v>200</v>
      </c>
      <c r="G47" s="4" t="s">
        <v>358</v>
      </c>
      <c r="H47" s="13">
        <v>5500</v>
      </c>
      <c r="I47" s="13">
        <v>2</v>
      </c>
      <c r="J47" s="14">
        <v>46133</v>
      </c>
      <c r="K47" s="4" t="s">
        <v>202</v>
      </c>
      <c r="L47" s="13">
        <v>275000</v>
      </c>
      <c r="M47" s="13">
        <v>5</v>
      </c>
      <c r="N47" s="13">
        <v>9.6</v>
      </c>
      <c r="O47" s="4" t="s">
        <v>203</v>
      </c>
      <c r="P47" t="str">
        <f t="shared" si="0"/>
        <v>suraj kumar</v>
      </c>
      <c r="Q47" t="str">
        <f t="shared" si="1"/>
        <v>SURAJ KUMAR</v>
      </c>
      <c r="R47" t="str">
        <f t="shared" si="2"/>
        <v>Suraj Kumar</v>
      </c>
      <c r="S47" t="str">
        <f t="shared" si="3"/>
        <v xml:space="preserve">Suraj </v>
      </c>
      <c r="T47" t="str">
        <f t="shared" si="4"/>
        <v xml:space="preserve"> Kumar</v>
      </c>
      <c r="U47">
        <f t="shared" si="5"/>
        <v>11</v>
      </c>
    </row>
    <row r="48" spans="1:21" ht="27" thickBot="1" x14ac:dyDescent="0.3">
      <c r="A48" s="4" t="s">
        <v>359</v>
      </c>
      <c r="B48" s="4" t="s">
        <v>360</v>
      </c>
      <c r="C48" s="4" t="s">
        <v>199</v>
      </c>
      <c r="D48" s="13">
        <v>42</v>
      </c>
      <c r="E48" s="4" t="s">
        <v>12</v>
      </c>
      <c r="F48" s="4" t="s">
        <v>207</v>
      </c>
      <c r="G48" s="4" t="s">
        <v>361</v>
      </c>
      <c r="H48" s="13">
        <v>2100</v>
      </c>
      <c r="I48" s="13">
        <v>2</v>
      </c>
      <c r="J48" s="14">
        <v>46135</v>
      </c>
      <c r="K48" s="4" t="s">
        <v>214</v>
      </c>
      <c r="L48" s="13">
        <v>180000</v>
      </c>
      <c r="M48" s="13">
        <v>4</v>
      </c>
      <c r="N48" s="13">
        <v>10</v>
      </c>
      <c r="O48" s="4" t="s">
        <v>203</v>
      </c>
      <c r="P48" t="str">
        <f t="shared" si="0"/>
        <v>renu gupta</v>
      </c>
      <c r="Q48" t="str">
        <f t="shared" si="1"/>
        <v>RENU GUPTA</v>
      </c>
      <c r="R48" t="str">
        <f t="shared" si="2"/>
        <v>Renu Gupta</v>
      </c>
      <c r="S48" t="str">
        <f t="shared" si="3"/>
        <v>Renu G</v>
      </c>
      <c r="T48" t="str">
        <f t="shared" si="4"/>
        <v xml:space="preserve"> Gupta</v>
      </c>
      <c r="U48">
        <f t="shared" si="5"/>
        <v>10</v>
      </c>
    </row>
    <row r="49" spans="1:21" ht="27" thickBot="1" x14ac:dyDescent="0.3">
      <c r="A49" s="4" t="s">
        <v>362</v>
      </c>
      <c r="B49" s="4" t="s">
        <v>363</v>
      </c>
      <c r="C49" s="4" t="s">
        <v>221</v>
      </c>
      <c r="D49" s="13">
        <v>48</v>
      </c>
      <c r="E49" s="4" t="s">
        <v>7</v>
      </c>
      <c r="F49" s="4" t="s">
        <v>212</v>
      </c>
      <c r="G49" s="4" t="s">
        <v>364</v>
      </c>
      <c r="H49" s="13">
        <v>11000</v>
      </c>
      <c r="I49" s="13">
        <v>1</v>
      </c>
      <c r="J49" s="14">
        <v>46137</v>
      </c>
      <c r="K49" s="4" t="s">
        <v>202</v>
      </c>
      <c r="L49" s="13">
        <v>475000</v>
      </c>
      <c r="M49" s="13">
        <v>7</v>
      </c>
      <c r="N49" s="13">
        <v>8.8000000000000007</v>
      </c>
      <c r="O49" s="4" t="s">
        <v>203</v>
      </c>
      <c r="P49" t="str">
        <f t="shared" si="0"/>
        <v>gaurav mehra</v>
      </c>
      <c r="Q49" t="str">
        <f t="shared" si="1"/>
        <v>GAURAV MEHRA</v>
      </c>
      <c r="R49" t="str">
        <f t="shared" si="2"/>
        <v>Gaurav Mehra</v>
      </c>
      <c r="S49" t="str">
        <f t="shared" si="3"/>
        <v>Gaurav</v>
      </c>
      <c r="T49" t="str">
        <f t="shared" si="4"/>
        <v xml:space="preserve"> Mehra</v>
      </c>
      <c r="U49">
        <f t="shared" si="5"/>
        <v>12</v>
      </c>
    </row>
    <row r="50" spans="1:21" ht="27" thickBot="1" x14ac:dyDescent="0.3">
      <c r="A50" s="4" t="s">
        <v>365</v>
      </c>
      <c r="B50" s="4" t="s">
        <v>366</v>
      </c>
      <c r="C50" s="4" t="s">
        <v>225</v>
      </c>
      <c r="D50" s="13">
        <v>30</v>
      </c>
      <c r="E50" s="4" t="s">
        <v>12</v>
      </c>
      <c r="F50" s="4" t="s">
        <v>226</v>
      </c>
      <c r="G50" s="4" t="s">
        <v>367</v>
      </c>
      <c r="H50" s="13">
        <v>900</v>
      </c>
      <c r="I50" s="13">
        <v>4</v>
      </c>
      <c r="J50" s="14">
        <v>46139</v>
      </c>
      <c r="K50" s="4" t="s">
        <v>209</v>
      </c>
      <c r="L50" s="13">
        <v>105000</v>
      </c>
      <c r="M50" s="13">
        <v>2</v>
      </c>
      <c r="N50" s="13">
        <v>11.3</v>
      </c>
      <c r="O50" s="4" t="s">
        <v>203</v>
      </c>
      <c r="P50" t="str">
        <f t="shared" si="0"/>
        <v>swati joshi</v>
      </c>
      <c r="Q50" t="str">
        <f t="shared" si="1"/>
        <v>SWATI JOSHI</v>
      </c>
      <c r="R50" t="str">
        <f t="shared" si="2"/>
        <v>Swati Joshi</v>
      </c>
      <c r="S50" t="str">
        <f t="shared" si="3"/>
        <v xml:space="preserve">Swati </v>
      </c>
      <c r="T50" t="str">
        <f t="shared" si="4"/>
        <v xml:space="preserve"> Joshi</v>
      </c>
      <c r="U50">
        <f t="shared" si="5"/>
        <v>11</v>
      </c>
    </row>
    <row r="51" spans="1:21" ht="27" thickBot="1" x14ac:dyDescent="0.3">
      <c r="A51" s="4" t="s">
        <v>368</v>
      </c>
      <c r="B51" s="4" t="s">
        <v>369</v>
      </c>
      <c r="C51" s="4" t="s">
        <v>199</v>
      </c>
      <c r="D51" s="13">
        <v>37</v>
      </c>
      <c r="E51" s="4" t="s">
        <v>7</v>
      </c>
      <c r="F51" s="4" t="s">
        <v>200</v>
      </c>
      <c r="G51" s="4" t="s">
        <v>201</v>
      </c>
      <c r="H51" s="13">
        <v>62000</v>
      </c>
      <c r="I51" s="13">
        <v>1</v>
      </c>
      <c r="J51" s="14">
        <v>46142</v>
      </c>
      <c r="K51" s="4" t="s">
        <v>202</v>
      </c>
      <c r="L51" s="13">
        <v>350000</v>
      </c>
      <c r="M51" s="13">
        <v>5</v>
      </c>
      <c r="N51" s="13">
        <v>9.3000000000000007</v>
      </c>
      <c r="O51" s="4" t="s">
        <v>203</v>
      </c>
      <c r="P51" t="str">
        <f t="shared" si="0"/>
        <v>ankit sharma</v>
      </c>
      <c r="Q51" t="str">
        <f t="shared" si="1"/>
        <v>ANKIT SHARMA</v>
      </c>
      <c r="R51" t="str">
        <f t="shared" si="2"/>
        <v>Ankit Sharma</v>
      </c>
      <c r="S51" t="str">
        <f t="shared" si="3"/>
        <v xml:space="preserve">Ankit </v>
      </c>
      <c r="T51" t="str">
        <f t="shared" si="4"/>
        <v>Sharma</v>
      </c>
      <c r="U51">
        <f t="shared" si="5"/>
        <v>12</v>
      </c>
    </row>
    <row r="52" spans="1:21" x14ac:dyDescent="0.25">
      <c r="Q52" t="str">
        <f t="shared" si="1"/>
        <v/>
      </c>
      <c r="S52" t="str">
        <f t="shared" si="3"/>
        <v/>
      </c>
      <c r="T52" t="str">
        <f t="shared" si="4"/>
        <v/>
      </c>
      <c r="U52">
        <f t="shared" si="5"/>
        <v>0</v>
      </c>
    </row>
    <row r="104" spans="8:12" x14ac:dyDescent="0.25">
      <c r="H104" t="s">
        <v>0</v>
      </c>
      <c r="I104" t="s">
        <v>390</v>
      </c>
      <c r="J104" t="s">
        <v>392</v>
      </c>
      <c r="K104" t="s">
        <v>394</v>
      </c>
      <c r="L104" t="s">
        <v>395</v>
      </c>
    </row>
    <row r="105" spans="8:12" x14ac:dyDescent="0.25">
      <c r="H105" t="s">
        <v>389</v>
      </c>
      <c r="I105" t="s">
        <v>391</v>
      </c>
      <c r="J105">
        <v>110043</v>
      </c>
      <c r="K105" s="17" t="s">
        <v>393</v>
      </c>
      <c r="L105" t="str">
        <f>_xlfn.CONCAT(UPPER(H105),LEFT(I105,2),RIGHT(J105,3))</f>
        <v>ASHADE043</v>
      </c>
    </row>
    <row r="107" spans="8:12" ht="16.5" x14ac:dyDescent="0.3">
      <c r="J107" s="15" t="s">
        <v>396</v>
      </c>
    </row>
  </sheetData>
  <hyperlinks>
    <hyperlink ref="Z11" r:id="rId1" xr:uid="{98FA1E52-38E9-4EAD-A7E2-DA2F9F17B256}"/>
    <hyperlink ref="K105" r:id="rId2" xr:uid="{A7DBD946-DFE1-4440-9A87-91965CC5AE8A}"/>
    <hyperlink ref="AA1" r:id="rId3" xr:uid="{00DF7BFB-64B1-4483-8F02-43DBC40202D4}"/>
    <hyperlink ref="X17" r:id="rId4" xr:uid="{13087CAB-0E84-4651-BA9B-A1140FB086DB}"/>
    <hyperlink ref="X18" r:id="rId5" xr:uid="{65003B83-32EE-4019-A606-A986DE02EC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ankitbhai47@gmail.com</dc:creator>
  <cp:lastModifiedBy>ankitbhai47@gmail.com</cp:lastModifiedBy>
  <dcterms:created xsi:type="dcterms:W3CDTF">2026-09-06T10:50:33Z</dcterms:created>
  <dcterms:modified xsi:type="dcterms:W3CDTF">2026-09-06T14:19:50Z</dcterms:modified>
</cp:coreProperties>
</file>